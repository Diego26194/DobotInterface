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 (2)" sheetId="4" r:id="rId2"/>
    <sheet name="Hoja2" sheetId="2" r:id="rId3"/>
    <sheet name="Hoja3" sheetId="3" r:id="rId4"/>
  </sheets>
  <calcPr calcId="144525"/>
</workbook>
</file>

<file path=xl/calcChain.xml><?xml version="1.0" encoding="utf-8"?>
<calcChain xmlns="http://schemas.openxmlformats.org/spreadsheetml/2006/main">
  <c r="N20" i="1" l="1"/>
  <c r="M20" i="1"/>
  <c r="N19" i="1"/>
  <c r="M19" i="1"/>
  <c r="N18" i="1"/>
  <c r="M18" i="1"/>
  <c r="N17" i="1"/>
  <c r="M17" i="1"/>
  <c r="B14" i="1" l="1"/>
  <c r="C14" i="1"/>
  <c r="D14" i="1"/>
  <c r="A14" i="1"/>
  <c r="B13" i="1"/>
  <c r="C13" i="1"/>
  <c r="D13" i="1"/>
  <c r="A13" i="1"/>
  <c r="O47" i="2" l="1"/>
  <c r="O39" i="2"/>
  <c r="O32" i="2"/>
  <c r="O17" i="2"/>
  <c r="O9" i="2"/>
  <c r="M41" i="4"/>
  <c r="M42" i="4"/>
  <c r="M43" i="4"/>
  <c r="M44" i="4"/>
  <c r="M45" i="4"/>
  <c r="M40" i="4"/>
  <c r="E41" i="4"/>
  <c r="F41" i="4"/>
  <c r="G41" i="4"/>
  <c r="H41" i="4"/>
  <c r="I41" i="4"/>
  <c r="J41" i="4"/>
  <c r="K41" i="4"/>
  <c r="L41" i="4"/>
  <c r="E42" i="4"/>
  <c r="F42" i="4"/>
  <c r="G42" i="4"/>
  <c r="H42" i="4"/>
  <c r="I42" i="4"/>
  <c r="J42" i="4"/>
  <c r="K42" i="4"/>
  <c r="L42" i="4"/>
  <c r="E43" i="4"/>
  <c r="F43" i="4"/>
  <c r="G43" i="4"/>
  <c r="H43" i="4"/>
  <c r="I43" i="4"/>
  <c r="J43" i="4"/>
  <c r="K43" i="4"/>
  <c r="L43" i="4"/>
  <c r="E44" i="4"/>
  <c r="F44" i="4"/>
  <c r="G44" i="4"/>
  <c r="H44" i="4"/>
  <c r="I44" i="4"/>
  <c r="J44" i="4"/>
  <c r="K44" i="4"/>
  <c r="L44" i="4"/>
  <c r="E45" i="4"/>
  <c r="F45" i="4"/>
  <c r="G45" i="4"/>
  <c r="H45" i="4"/>
  <c r="I45" i="4"/>
  <c r="J45" i="4"/>
  <c r="K45" i="4"/>
  <c r="L45" i="4"/>
  <c r="F40" i="4"/>
  <c r="G40" i="4"/>
  <c r="H40" i="4"/>
  <c r="I40" i="4"/>
  <c r="J40" i="4"/>
  <c r="K40" i="4"/>
  <c r="L40" i="4"/>
  <c r="E40" i="4"/>
  <c r="C41" i="4"/>
  <c r="D41" i="4"/>
  <c r="C42" i="4"/>
  <c r="D42" i="4"/>
  <c r="C43" i="4"/>
  <c r="D43" i="4"/>
  <c r="C44" i="4"/>
  <c r="D44" i="4"/>
  <c r="C45" i="4"/>
  <c r="D45" i="4"/>
  <c r="D40" i="4"/>
  <c r="C40" i="4"/>
  <c r="M27" i="4"/>
  <c r="M28" i="4"/>
  <c r="M29" i="4"/>
  <c r="M30" i="4"/>
  <c r="M31" i="4"/>
  <c r="M26" i="4"/>
  <c r="M38" i="4"/>
  <c r="M37" i="4"/>
  <c r="M36" i="4"/>
  <c r="M35" i="4"/>
  <c r="M34" i="4"/>
  <c r="M33" i="4"/>
  <c r="M2" i="4"/>
  <c r="N2" i="4" s="1"/>
  <c r="M3" i="4"/>
  <c r="O3" i="4" s="1"/>
  <c r="M4" i="4"/>
  <c r="O4" i="4" s="1"/>
  <c r="M5" i="4"/>
  <c r="O5" i="4" s="1"/>
  <c r="N5" i="4"/>
  <c r="M6" i="4"/>
  <c r="N6" i="4" s="1"/>
  <c r="O6" i="4"/>
  <c r="M7" i="4"/>
  <c r="O7" i="4" s="1"/>
  <c r="N7" i="4"/>
  <c r="M10" i="4"/>
  <c r="N10" i="4" s="1"/>
  <c r="O10" i="4"/>
  <c r="P10" i="4"/>
  <c r="M11" i="4"/>
  <c r="N11" i="4" s="1"/>
  <c r="P11" i="4"/>
  <c r="M12" i="4"/>
  <c r="N12" i="4" s="1"/>
  <c r="P12" i="4"/>
  <c r="M13" i="4"/>
  <c r="N13" i="4" s="1"/>
  <c r="P13" i="4"/>
  <c r="M14" i="4"/>
  <c r="N14" i="4" s="1"/>
  <c r="O14" i="4"/>
  <c r="P14" i="4"/>
  <c r="M15" i="4"/>
  <c r="N15" i="4" s="1"/>
  <c r="P15" i="4"/>
  <c r="P33" i="2"/>
  <c r="P27" i="2"/>
  <c r="P28" i="2"/>
  <c r="P29" i="2"/>
  <c r="P30" i="2"/>
  <c r="P31" i="2"/>
  <c r="P26" i="2"/>
  <c r="P2" i="2"/>
  <c r="P3" i="2"/>
  <c r="P4" i="2"/>
  <c r="P5" i="2"/>
  <c r="P6" i="2"/>
  <c r="P7" i="2"/>
  <c r="O15" i="4" l="1"/>
  <c r="O11" i="4"/>
  <c r="N3" i="4"/>
  <c r="O12" i="4"/>
  <c r="O13" i="4"/>
  <c r="O2" i="4"/>
  <c r="O16" i="4"/>
  <c r="N16" i="4"/>
  <c r="O8" i="4"/>
  <c r="N4" i="4"/>
  <c r="C19" i="4"/>
  <c r="D19" i="4"/>
  <c r="E19" i="4"/>
  <c r="F19" i="4"/>
  <c r="G19" i="4"/>
  <c r="H19" i="4"/>
  <c r="I19" i="4"/>
  <c r="J19" i="4"/>
  <c r="K19" i="4"/>
  <c r="L19" i="4"/>
  <c r="C20" i="4"/>
  <c r="D20" i="4"/>
  <c r="E20" i="4"/>
  <c r="F20" i="4"/>
  <c r="G20" i="4"/>
  <c r="H20" i="4"/>
  <c r="I20" i="4"/>
  <c r="J20" i="4"/>
  <c r="K20" i="4"/>
  <c r="L20" i="4"/>
  <c r="C21" i="4"/>
  <c r="D21" i="4"/>
  <c r="E21" i="4"/>
  <c r="F21" i="4"/>
  <c r="G21" i="4"/>
  <c r="H21" i="4"/>
  <c r="I21" i="4"/>
  <c r="J21" i="4"/>
  <c r="K21" i="4"/>
  <c r="L21" i="4"/>
  <c r="C22" i="4"/>
  <c r="D22" i="4"/>
  <c r="E22" i="4"/>
  <c r="F22" i="4"/>
  <c r="G22" i="4"/>
  <c r="H22" i="4"/>
  <c r="I22" i="4"/>
  <c r="J22" i="4"/>
  <c r="K22" i="4"/>
  <c r="L22" i="4"/>
  <c r="C23" i="4"/>
  <c r="D23" i="4"/>
  <c r="E23" i="4"/>
  <c r="F23" i="4"/>
  <c r="G23" i="4"/>
  <c r="H23" i="4"/>
  <c r="I23" i="4"/>
  <c r="J23" i="4"/>
  <c r="K23" i="4"/>
  <c r="L23" i="4"/>
  <c r="D18" i="4"/>
  <c r="E18" i="4"/>
  <c r="F18" i="4"/>
  <c r="G18" i="4"/>
  <c r="H18" i="4"/>
  <c r="I18" i="4"/>
  <c r="J18" i="4"/>
  <c r="K18" i="4"/>
  <c r="L18" i="4"/>
  <c r="C18" i="4"/>
  <c r="P11" i="2"/>
  <c r="P12" i="2"/>
  <c r="P13" i="2"/>
  <c r="P14" i="2"/>
  <c r="P15" i="2"/>
  <c r="P10" i="2"/>
  <c r="N8" i="4" l="1"/>
  <c r="M18" i="4"/>
  <c r="N18" i="4" s="1"/>
  <c r="M21" i="4"/>
  <c r="N21" i="4" s="1"/>
  <c r="M20" i="4"/>
  <c r="N20" i="4" s="1"/>
  <c r="M19" i="4"/>
  <c r="N19" i="4" s="1"/>
  <c r="O22" i="4"/>
  <c r="O20" i="4"/>
  <c r="O23" i="4"/>
  <c r="O19" i="4"/>
  <c r="O21" i="4"/>
  <c r="O18" i="4"/>
  <c r="M23" i="4"/>
  <c r="N23" i="4" s="1"/>
  <c r="M22" i="4"/>
  <c r="N22" i="4" s="1"/>
  <c r="O46" i="2"/>
  <c r="N46" i="2"/>
  <c r="N41" i="2"/>
  <c r="N42" i="2"/>
  <c r="N43" i="2"/>
  <c r="N44" i="2"/>
  <c r="N45" i="2"/>
  <c r="N40" i="2"/>
  <c r="O41" i="2"/>
  <c r="O42" i="2"/>
  <c r="O43" i="2"/>
  <c r="O44" i="2"/>
  <c r="O45" i="2"/>
  <c r="O40" i="2"/>
  <c r="O16" i="2"/>
  <c r="N16" i="2"/>
  <c r="M3" i="2"/>
  <c r="M4" i="2"/>
  <c r="M5" i="2"/>
  <c r="M6" i="2"/>
  <c r="N6" i="2" s="1"/>
  <c r="M7" i="2"/>
  <c r="M10" i="2"/>
  <c r="N10" i="2" s="1"/>
  <c r="M11" i="2"/>
  <c r="M12" i="2"/>
  <c r="M13" i="2"/>
  <c r="M14" i="2"/>
  <c r="N14" i="2" s="1"/>
  <c r="M15" i="2"/>
  <c r="N3" i="2"/>
  <c r="N4" i="2"/>
  <c r="N7" i="2"/>
  <c r="M2" i="2"/>
  <c r="N2" i="2" s="1"/>
  <c r="M34" i="2"/>
  <c r="N34" i="2" s="1"/>
  <c r="M35" i="2"/>
  <c r="N35" i="2" s="1"/>
  <c r="M36" i="2"/>
  <c r="N36" i="2" s="1"/>
  <c r="M37" i="2"/>
  <c r="N37" i="2" s="1"/>
  <c r="M38" i="2"/>
  <c r="N38" i="2" s="1"/>
  <c r="M33" i="2"/>
  <c r="N33" i="2" s="1"/>
  <c r="M27" i="2"/>
  <c r="N27" i="2" s="1"/>
  <c r="M28" i="2"/>
  <c r="N28" i="2" s="1"/>
  <c r="M29" i="2"/>
  <c r="N29" i="2" s="1"/>
  <c r="M30" i="2"/>
  <c r="N30" i="2" s="1"/>
  <c r="M31" i="2"/>
  <c r="N31" i="2" s="1"/>
  <c r="M26" i="2"/>
  <c r="O26" i="2" s="1"/>
  <c r="N5" i="2"/>
  <c r="N11" i="2"/>
  <c r="N12" i="2"/>
  <c r="N13" i="2"/>
  <c r="N15" i="2"/>
  <c r="O24" i="4" l="1"/>
  <c r="N8" i="2"/>
  <c r="N26" i="2"/>
  <c r="O37" i="2"/>
  <c r="O35" i="2"/>
  <c r="O33" i="2"/>
  <c r="O38" i="2"/>
  <c r="O36" i="2"/>
  <c r="O34" i="2"/>
  <c r="O2" i="2"/>
  <c r="O30" i="2"/>
  <c r="O28" i="2"/>
  <c r="O14" i="2"/>
  <c r="O12" i="2"/>
  <c r="O10" i="2"/>
  <c r="O7" i="2"/>
  <c r="O5" i="2"/>
  <c r="O3" i="2"/>
  <c r="O31" i="2"/>
  <c r="O29" i="2"/>
  <c r="O27" i="2"/>
  <c r="O15" i="2"/>
  <c r="O13" i="2"/>
  <c r="O11" i="2"/>
  <c r="O6" i="2"/>
  <c r="O4" i="2"/>
  <c r="O8" i="2" l="1"/>
</calcChain>
</file>

<file path=xl/sharedStrings.xml><?xml version="1.0" encoding="utf-8"?>
<sst xmlns="http://schemas.openxmlformats.org/spreadsheetml/2006/main" count="24" uniqueCount="12">
  <si>
    <t>TIEMPO DE EJECUCION RUTINAS con trayectorias</t>
  </si>
  <si>
    <t>TIEMPO DE EJECUCION Puntos</t>
  </si>
  <si>
    <t>TIEMPO DE EJECUCION RUTINAS SIMPLES 3 O MAS</t>
  </si>
  <si>
    <t>TIEMPO DE EJECUCION RUTINAS SIMPLES 1 O 2</t>
  </si>
  <si>
    <t> 51,504158433254894</t>
  </si>
  <si>
    <t> -23,878727544070482</t>
  </si>
  <si>
    <t> 83,7609553478896</t>
  </si>
  <si>
    <t> 4,001320974278392</t>
  </si>
  <si>
    <t> 97,14424134431155</t>
  </si>
  <si>
    <t>Promedio</t>
  </si>
  <si>
    <t>Error total</t>
  </si>
  <si>
    <t>error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</si>
</sst>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0.0000E+00"/>
    <numFmt numFmtId="172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2" xfId="0" applyBorder="1"/>
    <xf numFmtId="0" fontId="1" fillId="0" borderId="3" xfId="0" applyNumberFormat="1" applyFont="1" applyBorder="1" applyAlignment="1">
      <alignment horizontal="right"/>
    </xf>
    <xf numFmtId="0" fontId="1" fillId="0" borderId="0" xfId="0" applyNumberFormat="1" applyFont="1" applyBorder="1" applyAlignment="1">
      <alignment horizontal="right"/>
    </xf>
    <xf numFmtId="0" fontId="1" fillId="0" borderId="4" xfId="0" applyNumberFormat="1" applyFont="1" applyBorder="1" applyAlignment="1">
      <alignment horizontal="right"/>
    </xf>
    <xf numFmtId="0" fontId="0" fillId="0" borderId="3" xfId="0" applyNumberFormat="1" applyFont="1" applyBorder="1" applyAlignment="1">
      <alignment horizontal="right"/>
    </xf>
    <xf numFmtId="0" fontId="0" fillId="0" borderId="0" xfId="0" applyNumberFormat="1" applyFont="1" applyBorder="1" applyAlignment="1">
      <alignment horizontal="right"/>
    </xf>
    <xf numFmtId="0" fontId="0" fillId="0" borderId="4" xfId="0" applyNumberFormat="1" applyFont="1" applyBorder="1" applyAlignment="1">
      <alignment horizontal="right"/>
    </xf>
    <xf numFmtId="0" fontId="0" fillId="0" borderId="3" xfId="0" applyNumberFormat="1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4" xfId="0" applyNumberFormat="1" applyBorder="1" applyAlignment="1">
      <alignment horizontal="right"/>
    </xf>
    <xf numFmtId="0" fontId="0" fillId="0" borderId="5" xfId="0" applyBorder="1"/>
    <xf numFmtId="0" fontId="1" fillId="0" borderId="6" xfId="0" applyNumberFormat="1" applyFont="1" applyBorder="1" applyAlignment="1">
      <alignment horizontal="right"/>
    </xf>
    <xf numFmtId="0" fontId="1" fillId="0" borderId="7" xfId="0" applyNumberFormat="1" applyFont="1" applyBorder="1" applyAlignment="1">
      <alignment horizontal="right"/>
    </xf>
    <xf numFmtId="0" fontId="1" fillId="0" borderId="8" xfId="0" applyNumberFormat="1" applyFont="1" applyBorder="1" applyAlignment="1">
      <alignment horizontal="right"/>
    </xf>
    <xf numFmtId="0" fontId="0" fillId="0" borderId="9" xfId="0" applyBorder="1"/>
    <xf numFmtId="0" fontId="1" fillId="0" borderId="10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right"/>
    </xf>
    <xf numFmtId="0" fontId="1" fillId="0" borderId="12" xfId="0" applyNumberFormat="1" applyFont="1" applyBorder="1" applyAlignment="1">
      <alignment horizontal="right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167" fontId="0" fillId="0" borderId="0" xfId="0" applyNumberFormat="1"/>
    <xf numFmtId="172" fontId="0" fillId="0" borderId="13" xfId="0" applyNumberFormat="1" applyBorder="1"/>
    <xf numFmtId="172" fontId="0" fillId="0" borderId="14" xfId="0" applyNumberFormat="1" applyBorder="1"/>
    <xf numFmtId="172" fontId="0" fillId="0" borderId="0" xfId="0" applyNumberFormat="1"/>
    <xf numFmtId="172" fontId="0" fillId="0" borderId="1" xfId="0" applyNumberFormat="1" applyBorder="1"/>
    <xf numFmtId="172" fontId="0" fillId="0" borderId="5" xfId="0" applyNumberFormat="1" applyBorder="1"/>
    <xf numFmtId="172" fontId="0" fillId="0" borderId="2" xfId="0" applyNumberFormat="1" applyBorder="1"/>
    <xf numFmtId="172" fontId="0" fillId="0" borderId="9" xfId="0" applyNumberFormat="1" applyBorder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topLeftCell="A10" zoomScaleNormal="100" workbookViewId="0">
      <selection activeCell="A20" sqref="A17:A20"/>
    </sheetView>
  </sheetViews>
  <sheetFormatPr baseColWidth="10" defaultRowHeight="15" x14ac:dyDescent="0.25"/>
  <cols>
    <col min="1" max="14" width="15.85546875" customWidth="1"/>
  </cols>
  <sheetData>
    <row r="1" spans="1:4" s="26" customFormat="1" ht="74.25" customHeight="1" x14ac:dyDescent="0.25">
      <c r="A1" s="25" t="s">
        <v>2</v>
      </c>
      <c r="B1" s="25" t="s">
        <v>3</v>
      </c>
      <c r="C1" s="25" t="s">
        <v>0</v>
      </c>
      <c r="D1" s="25" t="s">
        <v>1</v>
      </c>
    </row>
    <row r="2" spans="1:4" x14ac:dyDescent="0.25">
      <c r="A2" s="1">
        <v>5400.743246</v>
      </c>
      <c r="B2" s="1">
        <v>3212.15272</v>
      </c>
      <c r="C2" s="1">
        <v>1417.168856</v>
      </c>
      <c r="D2" s="1">
        <v>223.576784</v>
      </c>
    </row>
    <row r="3" spans="1:4" x14ac:dyDescent="0.25">
      <c r="A3" s="1">
        <v>5347.8882309999999</v>
      </c>
      <c r="B3" s="1">
        <v>3225.191593</v>
      </c>
      <c r="C3" s="1">
        <v>1434.325456</v>
      </c>
      <c r="D3" s="1">
        <v>362.07222999999999</v>
      </c>
    </row>
    <row r="4" spans="1:4" x14ac:dyDescent="0.25">
      <c r="A4" s="1">
        <v>5389.8577690000002</v>
      </c>
      <c r="B4" s="1">
        <v>3252.7930740000002</v>
      </c>
      <c r="C4" s="1">
        <v>1399.41906899999</v>
      </c>
      <c r="D4" s="1">
        <v>335.413693999999</v>
      </c>
    </row>
    <row r="5" spans="1:4" x14ac:dyDescent="0.25">
      <c r="A5" s="1">
        <v>5357.6760290000002</v>
      </c>
      <c r="B5" s="1">
        <v>3282.0708749999999</v>
      </c>
      <c r="C5" s="1">
        <v>1302.3040289999999</v>
      </c>
      <c r="D5" s="1">
        <v>242.01345499999999</v>
      </c>
    </row>
    <row r="6" spans="1:4" x14ac:dyDescent="0.25">
      <c r="A6" s="1">
        <v>5437.0224479999997</v>
      </c>
      <c r="B6" s="1">
        <v>3221.771956</v>
      </c>
      <c r="C6" s="1">
        <v>1291.7022710000001</v>
      </c>
      <c r="D6" s="1">
        <v>245.231866</v>
      </c>
    </row>
    <row r="7" spans="1:4" x14ac:dyDescent="0.25">
      <c r="A7" s="1">
        <v>5406.9604870000003</v>
      </c>
      <c r="B7" s="1">
        <v>3174.7152809999998</v>
      </c>
      <c r="C7" s="1">
        <v>1469.3803789999999</v>
      </c>
      <c r="D7" s="1">
        <v>224.67374799999999</v>
      </c>
    </row>
    <row r="8" spans="1:4" x14ac:dyDescent="0.25">
      <c r="A8" s="1">
        <v>5302.2594449999997</v>
      </c>
      <c r="B8" s="1">
        <v>3158.366442</v>
      </c>
      <c r="C8" s="1">
        <v>1241.803885</v>
      </c>
      <c r="D8" s="1">
        <v>245.24402599999999</v>
      </c>
    </row>
    <row r="9" spans="1:4" x14ac:dyDescent="0.25">
      <c r="A9" s="1">
        <v>5310.3563789999998</v>
      </c>
      <c r="B9" s="1">
        <v>3034.2645640000001</v>
      </c>
      <c r="C9" s="1">
        <v>1435.014486</v>
      </c>
      <c r="D9" s="1">
        <v>284.452914999999</v>
      </c>
    </row>
    <row r="10" spans="1:4" x14ac:dyDescent="0.25">
      <c r="A10" s="1">
        <v>5429.085255</v>
      </c>
      <c r="B10" s="1">
        <v>3135.9252929999998</v>
      </c>
      <c r="C10" s="1">
        <v>1269.198895</v>
      </c>
      <c r="D10" s="1">
        <v>233.752489</v>
      </c>
    </row>
    <row r="11" spans="1:4" x14ac:dyDescent="0.25">
      <c r="A11" s="1">
        <v>5648.1473450000003</v>
      </c>
      <c r="B11" s="1">
        <v>3073.732137</v>
      </c>
      <c r="C11" s="1">
        <v>1278.0015470000001</v>
      </c>
      <c r="D11" s="1">
        <v>235.68821</v>
      </c>
    </row>
    <row r="12" spans="1:4" x14ac:dyDescent="0.25">
      <c r="B12" s="2"/>
    </row>
    <row r="13" spans="1:4" x14ac:dyDescent="0.25">
      <c r="A13" s="2">
        <f>AVERAGE(A2:A11)</f>
        <v>5402.9996633999999</v>
      </c>
      <c r="B13" s="2">
        <f t="shared" ref="B13:D13" si="0">AVERAGE(B2:B11)</f>
        <v>3177.0983934999995</v>
      </c>
      <c r="C13" s="2">
        <f t="shared" si="0"/>
        <v>1353.8318872999987</v>
      </c>
      <c r="D13" s="2">
        <f t="shared" si="0"/>
        <v>263.21194169999978</v>
      </c>
    </row>
    <row r="14" spans="1:4" x14ac:dyDescent="0.25">
      <c r="A14" s="2">
        <f>_xlfn.STDEV.S(A2:A11)</f>
        <v>97.725098704087557</v>
      </c>
      <c r="B14" s="2">
        <f t="shared" ref="B14:D14" si="1">_xlfn.STDEV.S(B2:B11)</f>
        <v>78.474532761095119</v>
      </c>
      <c r="C14" s="2">
        <f t="shared" si="1"/>
        <v>84.649284439391508</v>
      </c>
      <c r="D14" s="2">
        <f t="shared" si="1"/>
        <v>48.550874576709568</v>
      </c>
    </row>
    <row r="15" spans="1:4" x14ac:dyDescent="0.25">
      <c r="A15" s="2"/>
    </row>
    <row r="16" spans="1:4" x14ac:dyDescent="0.25">
      <c r="A16" s="2"/>
    </row>
    <row r="17" spans="1:14" ht="30" x14ac:dyDescent="0.25">
      <c r="A17" s="25" t="s">
        <v>2</v>
      </c>
      <c r="B17" s="1">
        <v>5400.743246</v>
      </c>
      <c r="C17" s="1">
        <v>5347.8882309999999</v>
      </c>
      <c r="D17" s="1">
        <v>5389.8577690000002</v>
      </c>
      <c r="E17" s="1">
        <v>5357.6760290000002</v>
      </c>
      <c r="F17" s="1">
        <v>5437.0224479999997</v>
      </c>
      <c r="G17" s="1">
        <v>5406.9604870000003</v>
      </c>
      <c r="H17" s="1">
        <v>5302.2594449999997</v>
      </c>
      <c r="I17" s="1">
        <v>5310.3563789999998</v>
      </c>
      <c r="J17" s="1">
        <v>5429.085255</v>
      </c>
      <c r="K17" s="1">
        <v>5648.1473450000003</v>
      </c>
      <c r="M17" s="35">
        <f>AVERAGE(B17:K17)</f>
        <v>5402.9996633999999</v>
      </c>
      <c r="N17" s="35">
        <f>_xlfn.STDEV.S(B17:K17)</f>
        <v>97.725098704087557</v>
      </c>
    </row>
    <row r="18" spans="1:14" ht="30" x14ac:dyDescent="0.25">
      <c r="A18" s="25" t="s">
        <v>3</v>
      </c>
      <c r="B18" s="1">
        <v>3212.15272</v>
      </c>
      <c r="C18" s="1">
        <v>3225.191593</v>
      </c>
      <c r="D18" s="1">
        <v>3252.7930740000002</v>
      </c>
      <c r="E18" s="1">
        <v>3282.0708749999999</v>
      </c>
      <c r="F18" s="1">
        <v>3221.771956</v>
      </c>
      <c r="G18" s="1">
        <v>3174.7152809999998</v>
      </c>
      <c r="H18" s="1">
        <v>3158.366442</v>
      </c>
      <c r="I18" s="1">
        <v>3034.2645640000001</v>
      </c>
      <c r="J18" s="1">
        <v>3135.9252929999998</v>
      </c>
      <c r="K18" s="1">
        <v>3073.732137</v>
      </c>
      <c r="L18" s="2"/>
      <c r="M18" s="35">
        <f>AVERAGE(B18:K18)</f>
        <v>3177.0983934999995</v>
      </c>
      <c r="N18" s="35">
        <f>_xlfn.STDEV.S(B18:K18)</f>
        <v>78.474532761095119</v>
      </c>
    </row>
    <row r="19" spans="1:14" ht="45" x14ac:dyDescent="0.25">
      <c r="A19" s="25" t="s">
        <v>0</v>
      </c>
      <c r="B19" s="1">
        <v>1417.168856</v>
      </c>
      <c r="C19" s="1">
        <v>1434.325456</v>
      </c>
      <c r="D19" s="1">
        <v>1399.41906899999</v>
      </c>
      <c r="E19" s="1">
        <v>1302.3040289999999</v>
      </c>
      <c r="F19" s="1">
        <v>1291.7022710000001</v>
      </c>
      <c r="G19" s="1">
        <v>1469.3803789999999</v>
      </c>
      <c r="H19" s="1">
        <v>1241.803885</v>
      </c>
      <c r="I19" s="1">
        <v>1435.014486</v>
      </c>
      <c r="J19" s="1">
        <v>1269.198895</v>
      </c>
      <c r="K19" s="1">
        <v>1278.0015470000001</v>
      </c>
      <c r="M19" s="35">
        <f>AVERAGE(B19:K19)</f>
        <v>1353.8318872999987</v>
      </c>
      <c r="N19" s="35">
        <f>_xlfn.STDEV.S(B19:K19)</f>
        <v>84.649284439391508</v>
      </c>
    </row>
    <row r="20" spans="1:14" ht="30" x14ac:dyDescent="0.25">
      <c r="A20" s="25" t="s">
        <v>1</v>
      </c>
      <c r="B20" s="1">
        <v>223.576784</v>
      </c>
      <c r="C20" s="1">
        <v>362.07222999999999</v>
      </c>
      <c r="D20" s="1">
        <v>335.413693999999</v>
      </c>
      <c r="E20" s="1">
        <v>242.01345499999999</v>
      </c>
      <c r="F20" s="1">
        <v>245.231866</v>
      </c>
      <c r="G20" s="1">
        <v>224.67374799999999</v>
      </c>
      <c r="H20" s="1">
        <v>245.24402599999999</v>
      </c>
      <c r="I20" s="1">
        <v>284.452914999999</v>
      </c>
      <c r="J20" s="1">
        <v>233.752489</v>
      </c>
      <c r="K20" s="1">
        <v>235.68821</v>
      </c>
      <c r="M20" s="35">
        <f>AVERAGE(B20:K20)</f>
        <v>263.21194169999978</v>
      </c>
      <c r="N20" s="35">
        <f>_xlfn.STDEV.S(B20:K20)</f>
        <v>48.550874576709568</v>
      </c>
    </row>
    <row r="21" spans="1:14" x14ac:dyDescent="0.25">
      <c r="A21" s="2"/>
    </row>
    <row r="22" spans="1:14" x14ac:dyDescent="0.25">
      <c r="A22" s="2"/>
    </row>
    <row r="23" spans="1:14" x14ac:dyDescent="0.25">
      <c r="B23" s="2"/>
    </row>
    <row r="24" spans="1:14" x14ac:dyDescent="0.25">
      <c r="A24" s="2"/>
    </row>
    <row r="25" spans="1:14" x14ac:dyDescent="0.25">
      <c r="A25" s="2"/>
    </row>
    <row r="26" spans="1:14" x14ac:dyDescent="0.25">
      <c r="A26" s="2"/>
    </row>
    <row r="27" spans="1:14" x14ac:dyDescent="0.25">
      <c r="A27" s="2"/>
    </row>
    <row r="28" spans="1:14" x14ac:dyDescent="0.25">
      <c r="A28" s="2"/>
    </row>
    <row r="29" spans="1:14" x14ac:dyDescent="0.25">
      <c r="A29" s="2"/>
    </row>
    <row r="30" spans="1:14" x14ac:dyDescent="0.25">
      <c r="A30" s="2"/>
    </row>
    <row r="31" spans="1:14" x14ac:dyDescent="0.25">
      <c r="A31" s="2"/>
    </row>
    <row r="32" spans="1:14" x14ac:dyDescent="0.25">
      <c r="A32" s="2"/>
    </row>
    <row r="33" spans="1:2" x14ac:dyDescent="0.25">
      <c r="A33" s="2"/>
    </row>
    <row r="34" spans="1:2" x14ac:dyDescent="0.25">
      <c r="B34" s="2"/>
    </row>
    <row r="35" spans="1:2" x14ac:dyDescent="0.25">
      <c r="A35" s="2"/>
    </row>
    <row r="36" spans="1:2" x14ac:dyDescent="0.25">
      <c r="A36" s="2"/>
    </row>
    <row r="37" spans="1:2" x14ac:dyDescent="0.25">
      <c r="A37" s="2"/>
    </row>
    <row r="38" spans="1:2" x14ac:dyDescent="0.25">
      <c r="A38" s="2"/>
    </row>
    <row r="39" spans="1:2" x14ac:dyDescent="0.25">
      <c r="A39" s="2"/>
    </row>
    <row r="40" spans="1:2" x14ac:dyDescent="0.25">
      <c r="A40" s="2"/>
    </row>
    <row r="41" spans="1:2" x14ac:dyDescent="0.25">
      <c r="A41" s="2"/>
    </row>
    <row r="42" spans="1:2" x14ac:dyDescent="0.25">
      <c r="A42" s="2"/>
    </row>
    <row r="43" spans="1:2" x14ac:dyDescent="0.25">
      <c r="A43" s="2"/>
    </row>
    <row r="44" spans="1:2" x14ac:dyDescent="0.25">
      <c r="A4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22" zoomScale="85" zoomScaleNormal="85" workbookViewId="0">
      <selection activeCell="M40" sqref="M40"/>
    </sheetView>
  </sheetViews>
  <sheetFormatPr baseColWidth="10" defaultRowHeight="15" x14ac:dyDescent="0.25"/>
  <cols>
    <col min="1" max="2" width="11.42578125" style="3"/>
    <col min="3" max="3" width="23.140625" style="10" customWidth="1"/>
    <col min="4" max="11" width="14.85546875" style="11" customWidth="1"/>
    <col min="12" max="12" width="14.85546875" style="12" customWidth="1"/>
    <col min="13" max="13" width="12.28515625" style="3" customWidth="1"/>
    <col min="14" max="14" width="11.85546875" bestFit="1" customWidth="1"/>
    <col min="15" max="16" width="12.28515625" bestFit="1" customWidth="1"/>
  </cols>
  <sheetData>
    <row r="1" spans="1:16" ht="15.75" thickBot="1" x14ac:dyDescent="0.3">
      <c r="A1" s="13"/>
      <c r="M1" s="3" t="s">
        <v>9</v>
      </c>
      <c r="N1" t="s">
        <v>10</v>
      </c>
      <c r="O1" t="s">
        <v>11</v>
      </c>
    </row>
    <row r="2" spans="1:16" ht="15.75" thickBot="1" x14ac:dyDescent="0.3">
      <c r="A2" s="21">
        <v>77</v>
      </c>
      <c r="B2" s="13">
        <v>77</v>
      </c>
      <c r="C2" s="14">
        <v>77.000011884318795</v>
      </c>
      <c r="D2" s="15">
        <v>77.000011845773102</v>
      </c>
      <c r="E2" s="15">
        <v>77.000011845718603</v>
      </c>
      <c r="F2" s="15">
        <v>77.000011845718504</v>
      </c>
      <c r="G2" s="15">
        <v>77.000011845718504</v>
      </c>
      <c r="H2" s="15">
        <v>77.000011845718603</v>
      </c>
      <c r="I2" s="15">
        <v>77.000011845718603</v>
      </c>
      <c r="J2" s="15">
        <v>77.000011845718504</v>
      </c>
      <c r="K2" s="15">
        <v>77.000011845718603</v>
      </c>
      <c r="L2" s="16">
        <v>77.000011845718603</v>
      </c>
      <c r="M2" s="13">
        <f>AVERAGE(C2:L2)</f>
        <v>77.000011849584055</v>
      </c>
      <c r="N2">
        <f t="shared" ref="N2:N15" si="0">ABS(M2-A2)</f>
        <v>1.1849584055312334E-5</v>
      </c>
      <c r="O2">
        <f t="shared" ref="O2:O15" si="1">ABS(M2-B2)</f>
        <v>1.1849584055312334E-5</v>
      </c>
    </row>
    <row r="3" spans="1:16" ht="15.75" thickBot="1" x14ac:dyDescent="0.3">
      <c r="A3" s="3">
        <v>55</v>
      </c>
      <c r="B3" s="3">
        <v>51.5</v>
      </c>
      <c r="C3" s="4" t="s">
        <v>4</v>
      </c>
      <c r="D3" s="5">
        <v>51.520002154340901</v>
      </c>
      <c r="E3" s="5">
        <v>51.520024468483001</v>
      </c>
      <c r="F3" s="5">
        <v>51.5200245001393</v>
      </c>
      <c r="G3" s="5">
        <v>51.520024499940298</v>
      </c>
      <c r="H3" s="5">
        <v>51.520024499665901</v>
      </c>
      <c r="I3" s="5">
        <v>51.520024499717998</v>
      </c>
      <c r="J3" s="5">
        <v>51.520024500005597</v>
      </c>
      <c r="K3" s="5">
        <v>51.520024499704299</v>
      </c>
      <c r="L3" s="6">
        <v>51.520024500076801</v>
      </c>
      <c r="M3" s="13">
        <f t="shared" ref="M3:M15" si="2">AVERAGE(C3:L3)</f>
        <v>51.520022013563789</v>
      </c>
      <c r="N3">
        <f t="shared" si="0"/>
        <v>3.4799779864362108</v>
      </c>
      <c r="O3">
        <f t="shared" si="1"/>
        <v>2.0022013563789187E-2</v>
      </c>
    </row>
    <row r="4" spans="1:16" ht="15.75" thickBot="1" x14ac:dyDescent="0.3">
      <c r="A4" s="3">
        <v>-17</v>
      </c>
      <c r="B4" s="3">
        <v>-23.89</v>
      </c>
      <c r="C4" s="4" t="s">
        <v>5</v>
      </c>
      <c r="D4" s="5">
        <v>-23.847543891226</v>
      </c>
      <c r="E4" s="5">
        <v>-23.847499972838101</v>
      </c>
      <c r="F4" s="5">
        <v>-23.847499910532498</v>
      </c>
      <c r="G4" s="5">
        <v>-23.847499910924299</v>
      </c>
      <c r="H4" s="5">
        <v>-23.847499911464102</v>
      </c>
      <c r="I4" s="5">
        <v>-23.847499911361702</v>
      </c>
      <c r="J4" s="5">
        <v>-23.847499910795701</v>
      </c>
      <c r="K4" s="5">
        <v>-23.847499911388802</v>
      </c>
      <c r="L4" s="6">
        <v>-23.847499910655699</v>
      </c>
      <c r="M4" s="13">
        <f t="shared" si="2"/>
        <v>-23.847504804576324</v>
      </c>
      <c r="N4">
        <f t="shared" si="0"/>
        <v>6.8475048045763245</v>
      </c>
      <c r="O4">
        <f t="shared" si="1"/>
        <v>4.249519542367608E-2</v>
      </c>
    </row>
    <row r="5" spans="1:16" ht="15.75" thickBot="1" x14ac:dyDescent="0.3">
      <c r="A5" s="3">
        <v>90</v>
      </c>
      <c r="B5" s="3">
        <v>83.75</v>
      </c>
      <c r="C5" s="4" t="s">
        <v>6</v>
      </c>
      <c r="D5" s="5">
        <v>83.791349448738799</v>
      </c>
      <c r="E5" s="5">
        <v>83.791392241540706</v>
      </c>
      <c r="F5" s="5">
        <v>83.791392302256597</v>
      </c>
      <c r="G5" s="5">
        <v>83.791392301869195</v>
      </c>
      <c r="H5" s="5">
        <v>83.791392301348495</v>
      </c>
      <c r="I5" s="5">
        <v>83.791392301447303</v>
      </c>
      <c r="J5" s="5">
        <v>83.791392301996794</v>
      </c>
      <c r="K5" s="5">
        <v>83.791392301418895</v>
      </c>
      <c r="L5" s="6">
        <v>83.791392302130305</v>
      </c>
      <c r="M5" s="13">
        <f t="shared" si="2"/>
        <v>83.791387533638556</v>
      </c>
      <c r="N5">
        <f t="shared" si="0"/>
        <v>6.2086124663614441</v>
      </c>
      <c r="O5">
        <f t="shared" si="1"/>
        <v>4.1387533638555851E-2</v>
      </c>
    </row>
    <row r="6" spans="1:16" ht="15.75" thickBot="1" x14ac:dyDescent="0.3">
      <c r="A6" s="3">
        <v>4</v>
      </c>
      <c r="B6" s="3">
        <v>4</v>
      </c>
      <c r="C6" s="4" t="s">
        <v>7</v>
      </c>
      <c r="D6" s="5">
        <v>4.0013063167406901</v>
      </c>
      <c r="E6" s="5">
        <v>4.0013062961670096</v>
      </c>
      <c r="F6" s="5">
        <v>4.0013062961382797</v>
      </c>
      <c r="G6" s="5">
        <v>4.0013062961381296</v>
      </c>
      <c r="H6" s="5">
        <v>4.0013062961386803</v>
      </c>
      <c r="I6" s="5">
        <v>4.0013062961385799</v>
      </c>
      <c r="J6" s="5">
        <v>4.0013062961382104</v>
      </c>
      <c r="K6" s="5">
        <v>4.00130629613842</v>
      </c>
      <c r="L6" s="6">
        <v>4.0013062961379697</v>
      </c>
      <c r="M6" s="13">
        <f t="shared" si="2"/>
        <v>4.0013062984306629</v>
      </c>
      <c r="N6">
        <f t="shared" si="0"/>
        <v>1.3062984306628778E-3</v>
      </c>
      <c r="O6">
        <f t="shared" si="1"/>
        <v>1.3062984306628778E-3</v>
      </c>
    </row>
    <row r="7" spans="1:16" ht="15.75" thickBot="1" x14ac:dyDescent="0.3">
      <c r="A7" s="17">
        <v>100</v>
      </c>
      <c r="B7" s="17">
        <v>97.14</v>
      </c>
      <c r="C7" s="18" t="s">
        <v>8</v>
      </c>
      <c r="D7" s="19">
        <v>97.159293585908401</v>
      </c>
      <c r="E7" s="19">
        <v>97.159314771750502</v>
      </c>
      <c r="F7" s="19">
        <v>97.159314801813096</v>
      </c>
      <c r="G7" s="19">
        <v>97.159314801618606</v>
      </c>
      <c r="H7" s="19">
        <v>97.159314801363394</v>
      </c>
      <c r="I7" s="19">
        <v>97.159314801411796</v>
      </c>
      <c r="J7" s="19">
        <v>97.159314801682896</v>
      </c>
      <c r="K7" s="19">
        <v>97.159314801396803</v>
      </c>
      <c r="L7" s="20">
        <v>97.159314801747499</v>
      </c>
      <c r="M7" s="13">
        <f t="shared" si="2"/>
        <v>97.159312440965891</v>
      </c>
      <c r="N7">
        <f t="shared" si="0"/>
        <v>2.8406875590341087</v>
      </c>
      <c r="O7">
        <f t="shared" si="1"/>
        <v>1.9312440965890687E-2</v>
      </c>
    </row>
    <row r="8" spans="1:16" ht="15.75" thickBot="1" x14ac:dyDescent="0.3">
      <c r="C8" s="4"/>
      <c r="D8" s="5"/>
      <c r="E8" s="5"/>
      <c r="F8" s="5"/>
      <c r="G8" s="5"/>
      <c r="H8" s="5"/>
      <c r="I8" s="5"/>
      <c r="J8" s="5"/>
      <c r="K8" s="5"/>
      <c r="L8" s="6"/>
      <c r="M8" s="13"/>
      <c r="N8" s="22">
        <f>AVERAGE(N2:N7)</f>
        <v>3.2296834940704677</v>
      </c>
      <c r="O8" s="23">
        <f>AVERAGE(O2:O7)</f>
        <v>2.0755888601104999E-2</v>
      </c>
    </row>
    <row r="9" spans="1:16" ht="15.75" thickBot="1" x14ac:dyDescent="0.3">
      <c r="C9" s="7"/>
      <c r="D9" s="8"/>
      <c r="E9" s="8"/>
      <c r="F9" s="8"/>
      <c r="G9" s="8"/>
      <c r="H9" s="8"/>
      <c r="I9" s="8"/>
      <c r="J9" s="8"/>
      <c r="K9" s="8"/>
      <c r="L9" s="9"/>
      <c r="M9" s="13"/>
    </row>
    <row r="10" spans="1:16" ht="15.75" thickBot="1" x14ac:dyDescent="0.3">
      <c r="A10" s="13">
        <v>0</v>
      </c>
      <c r="B10" s="13">
        <v>2.34</v>
      </c>
      <c r="C10" s="14">
        <v>2.3406291065324298</v>
      </c>
      <c r="D10" s="15">
        <v>2.3408769117338601</v>
      </c>
      <c r="E10" s="15">
        <v>2.3408772604883099</v>
      </c>
      <c r="F10" s="15">
        <v>2.34087726099719</v>
      </c>
      <c r="G10" s="15">
        <v>2.3408772609633499</v>
      </c>
      <c r="H10" s="15">
        <v>2.3408772610221802</v>
      </c>
      <c r="I10" s="15">
        <v>2.3408772609919</v>
      </c>
      <c r="J10" s="15">
        <v>2.34087726099518</v>
      </c>
      <c r="K10" s="15">
        <v>2.3408772610210802</v>
      </c>
      <c r="L10" s="16">
        <v>2.3408772609969501</v>
      </c>
      <c r="M10" s="13">
        <f t="shared" si="2"/>
        <v>2.340852410574243</v>
      </c>
      <c r="N10">
        <f t="shared" si="0"/>
        <v>2.340852410574243</v>
      </c>
      <c r="O10">
        <f t="shared" si="1"/>
        <v>8.5241057424312316E-4</v>
      </c>
      <c r="P10">
        <f>_xlfn.STDEV.S(C10:L10)</f>
        <v>7.8461119287837617E-5</v>
      </c>
    </row>
    <row r="11" spans="1:16" ht="15.75" thickBot="1" x14ac:dyDescent="0.3">
      <c r="A11" s="3">
        <v>0</v>
      </c>
      <c r="B11" s="3">
        <v>-0.19</v>
      </c>
      <c r="C11" s="4">
        <v>-0.17749017063396999</v>
      </c>
      <c r="D11" s="5">
        <v>-0.17747056042107701</v>
      </c>
      <c r="E11" s="5">
        <v>-0.17747053290150899</v>
      </c>
      <c r="F11" s="5">
        <v>-0.17747053280785499</v>
      </c>
      <c r="G11" s="5">
        <v>-0.17747053292301099</v>
      </c>
      <c r="H11" s="5">
        <v>-0.177470532673555</v>
      </c>
      <c r="I11" s="5">
        <v>-0.177470532800305</v>
      </c>
      <c r="J11" s="5">
        <v>-0.17747053280348499</v>
      </c>
      <c r="K11" s="5">
        <v>-0.17747053271150001</v>
      </c>
      <c r="L11" s="6">
        <v>-0.17747053280785999</v>
      </c>
      <c r="M11" s="13">
        <f t="shared" si="2"/>
        <v>-0.17747249934841269</v>
      </c>
      <c r="N11">
        <f t="shared" si="0"/>
        <v>0.17747249934841269</v>
      </c>
      <c r="O11">
        <f t="shared" si="1"/>
        <v>1.2527500651587309E-2</v>
      </c>
      <c r="P11">
        <f t="shared" ref="P11:P15" si="3">_xlfn.STDEV.S(C11:L11)</f>
        <v>6.209062904885388E-6</v>
      </c>
    </row>
    <row r="12" spans="1:16" ht="15.75" thickBot="1" x14ac:dyDescent="0.3">
      <c r="A12" s="3">
        <v>0</v>
      </c>
      <c r="B12" s="3">
        <v>-0.03</v>
      </c>
      <c r="C12" s="4">
        <v>1.12746515227026E-2</v>
      </c>
      <c r="D12" s="5">
        <v>1.1367532015186799E-2</v>
      </c>
      <c r="E12" s="5">
        <v>1.1367662615951899E-2</v>
      </c>
      <c r="F12" s="5">
        <v>1.1367662887653601E-2</v>
      </c>
      <c r="G12" s="5">
        <v>1.1367662704477701E-2</v>
      </c>
      <c r="H12" s="5">
        <v>1.13676631009921E-2</v>
      </c>
      <c r="I12" s="5">
        <v>1.1367662898449199E-2</v>
      </c>
      <c r="J12" s="5">
        <v>1.1367662894839099E-2</v>
      </c>
      <c r="K12" s="5">
        <v>1.13676630377151E-2</v>
      </c>
      <c r="L12" s="6">
        <v>1.13676628869621E-2</v>
      </c>
      <c r="M12" s="13">
        <f t="shared" si="2"/>
        <v>1.135834865649302E-2</v>
      </c>
      <c r="N12">
        <f t="shared" si="0"/>
        <v>1.135834865649302E-2</v>
      </c>
      <c r="O12">
        <f t="shared" si="1"/>
        <v>4.1358348656493016E-2</v>
      </c>
      <c r="P12">
        <f t="shared" si="3"/>
        <v>2.9408203913381095E-5</v>
      </c>
    </row>
    <row r="13" spans="1:16" ht="15.75" thickBot="1" x14ac:dyDescent="0.3">
      <c r="A13" s="3">
        <v>0</v>
      </c>
      <c r="B13" s="3">
        <v>0.09</v>
      </c>
      <c r="C13" s="4">
        <v>0.17644830458924801</v>
      </c>
      <c r="D13" s="5">
        <v>0.17655272866982899</v>
      </c>
      <c r="E13" s="5">
        <v>0.17655287569849401</v>
      </c>
      <c r="F13" s="5">
        <v>0.17655287587701099</v>
      </c>
      <c r="G13" s="5">
        <v>0.17655287593878599</v>
      </c>
      <c r="H13" s="5">
        <v>0.17655287580949899</v>
      </c>
      <c r="I13" s="5">
        <v>0.17655287587174801</v>
      </c>
      <c r="J13" s="5">
        <v>0.17655287587667601</v>
      </c>
      <c r="K13" s="5">
        <v>0.17655287581631801</v>
      </c>
      <c r="L13" s="6">
        <v>0.176552875874848</v>
      </c>
      <c r="M13" s="13">
        <f t="shared" si="2"/>
        <v>0.17654240400224572</v>
      </c>
      <c r="N13">
        <f t="shared" si="0"/>
        <v>0.17654240400224572</v>
      </c>
      <c r="O13">
        <f t="shared" si="1"/>
        <v>8.6542404002245721E-2</v>
      </c>
      <c r="P13">
        <f t="shared" si="3"/>
        <v>3.3063195858515473E-5</v>
      </c>
    </row>
    <row r="14" spans="1:16" ht="15.75" thickBot="1" x14ac:dyDescent="0.3">
      <c r="A14" s="3">
        <v>0</v>
      </c>
      <c r="B14" s="3">
        <v>-2.34</v>
      </c>
      <c r="C14" s="4">
        <v>-2.3426115255158599</v>
      </c>
      <c r="D14" s="5">
        <v>-2.3428607990279899</v>
      </c>
      <c r="E14" s="5">
        <v>-2.3428611498563598</v>
      </c>
      <c r="F14" s="5">
        <v>-2.3428611503629599</v>
      </c>
      <c r="G14" s="5">
        <v>-2.3428611503401902</v>
      </c>
      <c r="H14" s="5">
        <v>-2.34286115037539</v>
      </c>
      <c r="I14" s="5">
        <v>-2.3428611503569501</v>
      </c>
      <c r="J14" s="5">
        <v>-2.34286115036064</v>
      </c>
      <c r="K14" s="5">
        <v>-2.3428611503771002</v>
      </c>
      <c r="L14" s="6">
        <v>-2.34286115036261</v>
      </c>
      <c r="M14" s="13">
        <f t="shared" si="2"/>
        <v>-2.342836152693605</v>
      </c>
      <c r="N14">
        <f t="shared" si="0"/>
        <v>2.342836152693605</v>
      </c>
      <c r="O14">
        <f t="shared" si="1"/>
        <v>2.836152693605154E-3</v>
      </c>
      <c r="P14">
        <f t="shared" si="3"/>
        <v>7.8926022320788795E-5</v>
      </c>
    </row>
    <row r="15" spans="1:16" ht="15.75" thickBot="1" x14ac:dyDescent="0.3">
      <c r="A15" s="17">
        <v>0</v>
      </c>
      <c r="B15" s="17">
        <v>-0.08</v>
      </c>
      <c r="C15" s="18">
        <v>-1.1618882999155001E-2</v>
      </c>
      <c r="D15" s="19">
        <v>-1.15873405509278E-2</v>
      </c>
      <c r="E15" s="19">
        <v>-1.1587296053886399E-2</v>
      </c>
      <c r="F15" s="19">
        <v>-1.1587296054395299E-2</v>
      </c>
      <c r="G15" s="19">
        <v>-1.1587295920888301E-2</v>
      </c>
      <c r="H15" s="19">
        <v>-1.15872962052554E-2</v>
      </c>
      <c r="I15" s="19">
        <v>-1.1587296063199099E-2</v>
      </c>
      <c r="J15" s="19">
        <v>-1.1587296057652199E-2</v>
      </c>
      <c r="K15" s="19">
        <v>-1.15872961720122E-2</v>
      </c>
      <c r="L15" s="20">
        <v>-1.15872960558965E-2</v>
      </c>
      <c r="M15" s="13">
        <f t="shared" si="2"/>
        <v>-1.1590459213326821E-2</v>
      </c>
      <c r="N15">
        <f t="shared" si="0"/>
        <v>1.1590459213326821E-2</v>
      </c>
      <c r="O15">
        <f t="shared" si="1"/>
        <v>6.8409540786673176E-2</v>
      </c>
      <c r="P15">
        <f t="shared" si="3"/>
        <v>9.9871101091343138E-6</v>
      </c>
    </row>
    <row r="16" spans="1:16" ht="15.75" thickBot="1" x14ac:dyDescent="0.3">
      <c r="C16" s="7"/>
      <c r="D16" s="8"/>
      <c r="E16" s="8"/>
      <c r="F16" s="8"/>
      <c r="G16" s="8"/>
      <c r="H16" s="8"/>
      <c r="I16" s="8"/>
      <c r="J16" s="8"/>
      <c r="K16" s="8"/>
      <c r="L16" s="9"/>
      <c r="M16" s="13"/>
      <c r="N16" s="22">
        <f>AVERAGE(N10:N15)</f>
        <v>0.84344204574805437</v>
      </c>
      <c r="O16" s="23">
        <f>AVERAGE(O10:O15)</f>
        <v>3.5421059560807912E-2</v>
      </c>
    </row>
    <row r="17" spans="1:15" ht="15.75" thickBot="1" x14ac:dyDescent="0.3">
      <c r="C17" s="7"/>
      <c r="D17" s="8"/>
      <c r="E17" s="8"/>
      <c r="F17" s="8"/>
      <c r="G17" s="8"/>
      <c r="H17" s="8"/>
      <c r="I17" s="8"/>
      <c r="J17" s="8"/>
      <c r="K17" s="8"/>
      <c r="L17" s="9"/>
      <c r="M17" s="13"/>
    </row>
    <row r="18" spans="1:15" ht="15.75" thickBot="1" x14ac:dyDescent="0.3">
      <c r="A18" s="13"/>
      <c r="B18" s="13"/>
      <c r="C18" s="14">
        <f>(C10-$M10)^2</f>
        <v>4.9864695090086264E-8</v>
      </c>
      <c r="D18" s="14">
        <f t="shared" ref="D18:L18" si="4">(D10-$M10)^2</f>
        <v>6.0030682258569532E-10</v>
      </c>
      <c r="E18" s="14">
        <f t="shared" si="4"/>
        <v>6.1751822913364218E-10</v>
      </c>
      <c r="F18" s="14">
        <f t="shared" si="4"/>
        <v>6.1754352064358765E-10</v>
      </c>
      <c r="G18" s="14">
        <f t="shared" si="4"/>
        <v>6.1754183876602628E-10</v>
      </c>
      <c r="H18" s="14">
        <f t="shared" si="4"/>
        <v>6.1754476267988685E-10</v>
      </c>
      <c r="I18" s="14">
        <f t="shared" si="4"/>
        <v>6.1754325772660469E-10</v>
      </c>
      <c r="J18" s="14">
        <f t="shared" si="4"/>
        <v>6.1754342074748761E-10</v>
      </c>
      <c r="K18" s="14">
        <f t="shared" si="4"/>
        <v>6.175447080084567E-10</v>
      </c>
      <c r="L18" s="14">
        <f t="shared" si="4"/>
        <v>6.175435087249186E-10</v>
      </c>
      <c r="M18" s="13">
        <f>SUM(C18:L18)/9</f>
        <v>6.1561472399002848E-9</v>
      </c>
      <c r="N18">
        <f>(M18)^(0.5)</f>
        <v>7.8461119287837617E-5</v>
      </c>
      <c r="O18">
        <f>SUM(C18:L18)</f>
        <v>5.5405325159102566E-8</v>
      </c>
    </row>
    <row r="19" spans="1:15" ht="15.75" thickBot="1" x14ac:dyDescent="0.3">
      <c r="C19" s="14">
        <f t="shared" ref="C19:L19" si="5">(C11-$M11)^2</f>
        <v>3.1227433324753042E-10</v>
      </c>
      <c r="D19" s="14">
        <f t="shared" si="5"/>
        <v>3.7594392130756304E-12</v>
      </c>
      <c r="E19" s="14">
        <f t="shared" si="5"/>
        <v>3.8669134250737747E-12</v>
      </c>
      <c r="F19" s="14">
        <f t="shared" si="5"/>
        <v>3.8672817650862863E-12</v>
      </c>
      <c r="G19" s="14">
        <f t="shared" si="5"/>
        <v>3.8668288604745866E-12</v>
      </c>
      <c r="H19" s="14">
        <f t="shared" si="5"/>
        <v>3.867809995868578E-12</v>
      </c>
      <c r="I19" s="14">
        <f t="shared" si="5"/>
        <v>3.8673114598601343E-12</v>
      </c>
      <c r="J19" s="14">
        <f t="shared" si="5"/>
        <v>3.8672989526869994E-12</v>
      </c>
      <c r="K19" s="14">
        <f t="shared" si="5"/>
        <v>3.8676607463210146E-12</v>
      </c>
      <c r="L19" s="14">
        <f t="shared" si="5"/>
        <v>3.8672817454365995E-12</v>
      </c>
      <c r="M19" s="13">
        <f t="shared" ref="M19:M23" si="6">SUM(C19:L19)/9</f>
        <v>3.8552462156823775E-11</v>
      </c>
      <c r="N19">
        <f t="shared" ref="N19:N23" si="7">(M19)^(0.5)</f>
        <v>6.209062904885388E-6</v>
      </c>
      <c r="O19">
        <f t="shared" ref="O19:O23" si="8">SUM(C19:L19)</f>
        <v>3.4697215941141395E-10</v>
      </c>
    </row>
    <row r="20" spans="1:15" ht="15.75" thickBot="1" x14ac:dyDescent="0.3">
      <c r="C20" s="14">
        <f t="shared" ref="C20:L20" si="9">(C12-$M12)^2</f>
        <v>7.0052102047315233E-9</v>
      </c>
      <c r="D20" s="14">
        <f t="shared" si="9"/>
        <v>8.4334076898605482E-11</v>
      </c>
      <c r="E20" s="14">
        <f t="shared" si="9"/>
        <v>8.6749840801642389E-11</v>
      </c>
      <c r="F20" s="14">
        <f t="shared" si="9"/>
        <v>8.6754902112721515E-11</v>
      </c>
      <c r="G20" s="14">
        <f t="shared" si="9"/>
        <v>8.6751489860927447E-11</v>
      </c>
      <c r="H20" s="14">
        <f t="shared" si="9"/>
        <v>8.67588763264371E-11</v>
      </c>
      <c r="I20" s="14">
        <f t="shared" si="9"/>
        <v>8.6755103218243362E-11</v>
      </c>
      <c r="J20" s="14">
        <f t="shared" si="9"/>
        <v>8.6755035967565392E-11</v>
      </c>
      <c r="K20" s="14">
        <f t="shared" si="9"/>
        <v>8.6757697550232712E-11</v>
      </c>
      <c r="L20" s="14">
        <f t="shared" si="9"/>
        <v>8.6754889231127701E-11</v>
      </c>
      <c r="M20" s="13">
        <f t="shared" si="6"/>
        <v>8.6484245741100304E-10</v>
      </c>
      <c r="N20">
        <f t="shared" si="7"/>
        <v>2.9408203913381095E-5</v>
      </c>
      <c r="O20">
        <f t="shared" si="8"/>
        <v>7.7835821166990275E-9</v>
      </c>
    </row>
    <row r="21" spans="1:15" ht="15.75" thickBot="1" x14ac:dyDescent="0.3">
      <c r="C21" s="14">
        <f t="shared" ref="C21:L21" si="10">(C13-$M13)^2</f>
        <v>8.854699526512792E-9</v>
      </c>
      <c r="D21" s="14">
        <f t="shared" si="10"/>
        <v>1.0659876070507677E-10</v>
      </c>
      <c r="E21" s="14">
        <f t="shared" si="10"/>
        <v>1.0965642231651659E-10</v>
      </c>
      <c r="F21" s="14">
        <f t="shared" si="10"/>
        <v>1.0966016109954292E-10</v>
      </c>
      <c r="G21" s="14">
        <f t="shared" si="10"/>
        <v>1.0966145490352362E-10</v>
      </c>
      <c r="H21" s="14">
        <f t="shared" si="10"/>
        <v>1.0965874714976639E-10</v>
      </c>
      <c r="I21" s="14">
        <f t="shared" si="10"/>
        <v>1.0966005087294163E-10</v>
      </c>
      <c r="J21" s="14">
        <f t="shared" si="10"/>
        <v>1.0966015408376305E-10</v>
      </c>
      <c r="K21" s="14">
        <f t="shared" si="10"/>
        <v>1.0965888996468826E-10</v>
      </c>
      <c r="L21" s="14">
        <f t="shared" si="10"/>
        <v>1.0966011579838476E-10</v>
      </c>
      <c r="M21" s="13">
        <f t="shared" si="6"/>
        <v>1.0931749203785549E-9</v>
      </c>
      <c r="N21">
        <f t="shared" si="7"/>
        <v>3.3063195858515473E-5</v>
      </c>
      <c r="O21">
        <f t="shared" si="8"/>
        <v>9.8385742834069947E-9</v>
      </c>
    </row>
    <row r="22" spans="1:15" ht="15.75" thickBot="1" x14ac:dyDescent="0.3">
      <c r="C22" s="14">
        <f t="shared" ref="C22:L22" si="11">(C14-$M14)^2</f>
        <v>5.0457368981716928E-8</v>
      </c>
      <c r="D22" s="14">
        <f t="shared" si="11"/>
        <v>6.0744179861357062E-10</v>
      </c>
      <c r="E22" s="14">
        <f t="shared" si="11"/>
        <v>6.2485814579177062E-10</v>
      </c>
      <c r="F22" s="14">
        <f t="shared" si="11"/>
        <v>6.2488347317847735E-10</v>
      </c>
      <c r="G22" s="14">
        <f t="shared" si="11"/>
        <v>6.2488233479582957E-10</v>
      </c>
      <c r="H22" s="14">
        <f t="shared" si="11"/>
        <v>6.2488409462354096E-10</v>
      </c>
      <c r="I22" s="14">
        <f t="shared" si="11"/>
        <v>6.2488317271356328E-10</v>
      </c>
      <c r="J22" s="14">
        <f t="shared" si="11"/>
        <v>6.2488335719319492E-10</v>
      </c>
      <c r="K22" s="14">
        <f t="shared" si="11"/>
        <v>6.2488418012499198E-10</v>
      </c>
      <c r="L22" s="14">
        <f t="shared" si="11"/>
        <v>6.2488345568299373E-10</v>
      </c>
      <c r="M22" s="13">
        <f t="shared" si="6"/>
        <v>6.2293169993816519E-9</v>
      </c>
      <c r="N22">
        <f t="shared" si="7"/>
        <v>7.8926022320788795E-5</v>
      </c>
      <c r="O22">
        <f t="shared" si="8"/>
        <v>5.6063852994434869E-8</v>
      </c>
    </row>
    <row r="23" spans="1:15" ht="15.75" thickBot="1" x14ac:dyDescent="0.3">
      <c r="A23" s="17"/>
      <c r="B23" s="17"/>
      <c r="C23" s="14">
        <f t="shared" ref="C23:L23" si="12">(C15-$M15)^2</f>
        <v>8.0791160080624327E-10</v>
      </c>
      <c r="D23" s="14">
        <f t="shared" si="12"/>
        <v>9.726055159066931E-12</v>
      </c>
      <c r="E23" s="14">
        <f t="shared" si="12"/>
        <v>1.0005577645527065E-11</v>
      </c>
      <c r="F23" s="14">
        <f t="shared" si="12"/>
        <v>1.0005574426062294E-11</v>
      </c>
      <c r="G23" s="14">
        <f t="shared" si="12"/>
        <v>1.0006419051598136E-11</v>
      </c>
      <c r="H23" s="14">
        <f t="shared" si="12"/>
        <v>1.0004620059872744E-11</v>
      </c>
      <c r="I23" s="14">
        <f t="shared" si="12"/>
        <v>1.0005518730504477E-11</v>
      </c>
      <c r="J23" s="14">
        <f t="shared" si="12"/>
        <v>1.0005553821888519E-11</v>
      </c>
      <c r="K23" s="14">
        <f t="shared" si="12"/>
        <v>1.0004830357996805E-11</v>
      </c>
      <c r="L23" s="14">
        <f t="shared" si="12"/>
        <v>1.000556492899487E-11</v>
      </c>
      <c r="M23" s="13">
        <f t="shared" si="6"/>
        <v>9.9742368331972789E-11</v>
      </c>
      <c r="N23">
        <f t="shared" si="7"/>
        <v>9.9871101091343138E-6</v>
      </c>
      <c r="O23">
        <f t="shared" si="8"/>
        <v>8.9768131498775515E-10</v>
      </c>
    </row>
    <row r="24" spans="1:15" x14ac:dyDescent="0.25">
      <c r="C24" s="4"/>
      <c r="D24" s="5"/>
      <c r="E24" s="5"/>
      <c r="F24" s="5"/>
      <c r="G24" s="5"/>
      <c r="H24" s="5"/>
      <c r="I24" s="5"/>
      <c r="J24" s="5"/>
      <c r="K24" s="5"/>
      <c r="L24" s="6"/>
      <c r="O24">
        <f>(SUM(O18:O23)/59)^(0.5)</f>
        <v>4.70008993833967E-5</v>
      </c>
    </row>
    <row r="25" spans="1:15" ht="15.75" thickBot="1" x14ac:dyDescent="0.3">
      <c r="C25" s="7"/>
      <c r="D25" s="8"/>
      <c r="E25" s="8"/>
      <c r="F25" s="8"/>
      <c r="G25" s="8"/>
      <c r="H25" s="8"/>
      <c r="I25" s="8"/>
      <c r="J25" s="8"/>
      <c r="K25" s="8"/>
      <c r="L25" s="9"/>
    </row>
    <row r="26" spans="1:15" ht="15.75" thickBot="1" x14ac:dyDescent="0.3">
      <c r="A26" s="13">
        <v>163</v>
      </c>
      <c r="B26" s="13">
        <v>163.91</v>
      </c>
      <c r="C26" s="15">
        <v>45.000472323180098</v>
      </c>
      <c r="D26" s="15">
        <v>45.000542012562597</v>
      </c>
      <c r="E26" s="14">
        <v>163.90856438016201</v>
      </c>
      <c r="F26" s="15">
        <v>163.90883143836999</v>
      </c>
      <c r="G26" s="15">
        <v>163.90845684995799</v>
      </c>
      <c r="H26" s="15">
        <v>163.909320708466</v>
      </c>
      <c r="I26" s="15">
        <v>163.90850728983</v>
      </c>
      <c r="J26" s="15">
        <v>163.90862999205299</v>
      </c>
      <c r="K26" s="15">
        <v>163.90882516224301</v>
      </c>
      <c r="L26" s="16">
        <v>163.90935659028199</v>
      </c>
      <c r="M26" s="13">
        <f>AVERAGE(E26:L26)</f>
        <v>163.90881155142048</v>
      </c>
    </row>
    <row r="27" spans="1:15" ht="15.75" thickBot="1" x14ac:dyDescent="0.3">
      <c r="A27" s="3">
        <v>36</v>
      </c>
      <c r="B27" s="3">
        <v>36.75</v>
      </c>
      <c r="C27" s="5">
        <v>50.004258956232</v>
      </c>
      <c r="D27" s="5">
        <v>50.004904538900902</v>
      </c>
      <c r="E27" s="4">
        <v>36.7516338860977</v>
      </c>
      <c r="F27" s="5">
        <v>36.750497706086499</v>
      </c>
      <c r="G27" s="5">
        <v>36.752528679272402</v>
      </c>
      <c r="H27" s="5">
        <v>36.7493830903299</v>
      </c>
      <c r="I27" s="5">
        <v>36.751956807618299</v>
      </c>
      <c r="J27" s="5">
        <v>36.750517225229402</v>
      </c>
      <c r="K27" s="5">
        <v>36.750517225229402</v>
      </c>
      <c r="L27" s="6">
        <v>36.748455785502898</v>
      </c>
      <c r="M27" s="13">
        <f t="shared" ref="M27:M31" si="13">AVERAGE(E27:L27)</f>
        <v>36.750686300670807</v>
      </c>
    </row>
    <row r="28" spans="1:15" ht="15.75" thickBot="1" x14ac:dyDescent="0.3">
      <c r="A28" s="3">
        <v>72</v>
      </c>
      <c r="B28" s="3">
        <v>72.099999999999994</v>
      </c>
      <c r="C28" s="5">
        <v>60.010067425168202</v>
      </c>
      <c r="D28" s="5">
        <v>60.011609526498802</v>
      </c>
      <c r="E28" s="4">
        <v>72.1221981996772</v>
      </c>
      <c r="F28" s="5">
        <v>72.117760414325502</v>
      </c>
      <c r="G28" s="5">
        <v>72.125452006963698</v>
      </c>
      <c r="H28" s="5">
        <v>72.112668035489506</v>
      </c>
      <c r="I28" s="5">
        <v>72.123397084429598</v>
      </c>
      <c r="J28" s="5">
        <v>72.117760414325502</v>
      </c>
      <c r="K28" s="5">
        <v>72.117844937906</v>
      </c>
      <c r="L28" s="6">
        <v>72.109396509867494</v>
      </c>
      <c r="M28" s="13">
        <f t="shared" si="13"/>
        <v>72.118309700373061</v>
      </c>
    </row>
    <row r="29" spans="1:15" ht="15.75" thickBot="1" x14ac:dyDescent="0.3">
      <c r="A29" s="3">
        <v>-10</v>
      </c>
      <c r="B29" s="3">
        <v>-11.07</v>
      </c>
      <c r="C29" s="5">
        <v>-39.982758435631403</v>
      </c>
      <c r="D29" s="5">
        <v>-39.980078317886402</v>
      </c>
      <c r="E29" s="4">
        <v>-11.0064166565272</v>
      </c>
      <c r="F29" s="5">
        <v>-11.016981332962899</v>
      </c>
      <c r="G29" s="5">
        <v>-10.998964896284599</v>
      </c>
      <c r="H29" s="5">
        <v>-11.0298969691158</v>
      </c>
      <c r="I29" s="5">
        <v>-11.0036310041029</v>
      </c>
      <c r="J29" s="6">
        <v>-11.0372690501982</v>
      </c>
      <c r="K29" s="5">
        <v>-11.016771701693401</v>
      </c>
      <c r="L29" s="6">
        <v>-11.0372690501982</v>
      </c>
      <c r="M29" s="13">
        <f t="shared" si="13"/>
        <v>-11.0184000826354</v>
      </c>
    </row>
    <row r="30" spans="1:15" ht="15.75" thickBot="1" x14ac:dyDescent="0.3">
      <c r="A30" s="3">
        <v>-132</v>
      </c>
      <c r="B30" s="3">
        <v>-132</v>
      </c>
      <c r="C30" s="5">
        <v>-34.9988118291135</v>
      </c>
      <c r="D30" s="5">
        <v>-34.998647300852298</v>
      </c>
      <c r="E30" s="4">
        <v>-131.99706259174201</v>
      </c>
      <c r="F30" s="5">
        <v>-131.99783365457299</v>
      </c>
      <c r="G30" s="5">
        <v>-131.996886452821</v>
      </c>
      <c r="H30" s="5">
        <v>-131.99951824405599</v>
      </c>
      <c r="I30" s="5">
        <v>-131.996920184218</v>
      </c>
      <c r="J30" s="5">
        <v>-131.99722235890999</v>
      </c>
      <c r="K30" s="5">
        <v>-131.99781377936401</v>
      </c>
      <c r="L30" s="6">
        <v>-131.99930952400399</v>
      </c>
      <c r="M30" s="13">
        <f t="shared" si="13"/>
        <v>-131.997820848711</v>
      </c>
    </row>
    <row r="31" spans="1:15" ht="15.75" thickBot="1" x14ac:dyDescent="0.3">
      <c r="A31" s="17">
        <v>50</v>
      </c>
      <c r="B31" s="17">
        <v>49.93</v>
      </c>
      <c r="C31" s="19">
        <v>-29.989971576936</v>
      </c>
      <c r="D31" s="19">
        <v>-29.9883829794069</v>
      </c>
      <c r="E31" s="18">
        <v>49.897608828369798</v>
      </c>
      <c r="F31" s="19">
        <v>49.903958887318602</v>
      </c>
      <c r="G31" s="19">
        <v>49.8932674810777</v>
      </c>
      <c r="H31" s="19">
        <v>49.911835763660399</v>
      </c>
      <c r="I31" s="19">
        <v>49.895947740337398</v>
      </c>
      <c r="J31" s="19">
        <v>49.899562792978102</v>
      </c>
      <c r="K31" s="19">
        <v>49.9038318220002</v>
      </c>
      <c r="L31" s="20">
        <v>49.917222459652599</v>
      </c>
      <c r="M31" s="13">
        <f t="shared" si="13"/>
        <v>49.902904471924352</v>
      </c>
    </row>
    <row r="32" spans="1:15" ht="15.75" thickBot="1" x14ac:dyDescent="0.3">
      <c r="M32" s="13"/>
    </row>
    <row r="33" spans="1:15" ht="15.75" thickBot="1" x14ac:dyDescent="0.3">
      <c r="A33" s="3">
        <v>45</v>
      </c>
      <c r="B33" s="3">
        <v>45</v>
      </c>
      <c r="C33" s="14"/>
      <c r="D33" s="15"/>
      <c r="E33" s="15"/>
      <c r="F33" s="15"/>
      <c r="G33" s="15"/>
      <c r="H33" s="15"/>
      <c r="I33" s="15">
        <v>45.000472323180098</v>
      </c>
      <c r="J33" s="15">
        <v>45.000542012562597</v>
      </c>
      <c r="K33" s="15"/>
      <c r="L33" s="16"/>
      <c r="M33" s="13">
        <f>SUM(C33:L33)/2</f>
        <v>45.000507167871348</v>
      </c>
    </row>
    <row r="34" spans="1:15" ht="15.75" thickBot="1" x14ac:dyDescent="0.3">
      <c r="A34" s="3">
        <v>50</v>
      </c>
      <c r="B34" s="3">
        <v>50.01</v>
      </c>
      <c r="C34" s="4"/>
      <c r="D34" s="5"/>
      <c r="E34" s="5"/>
      <c r="F34" s="5"/>
      <c r="G34" s="5"/>
      <c r="H34" s="5"/>
      <c r="I34" s="5">
        <v>50.004258956232</v>
      </c>
      <c r="J34" s="5">
        <v>50.004904538900902</v>
      </c>
      <c r="K34" s="5"/>
      <c r="L34" s="6"/>
      <c r="M34" s="13">
        <f t="shared" ref="M34:M38" si="14">SUM(C34:L34)/2</f>
        <v>50.004581747566448</v>
      </c>
    </row>
    <row r="35" spans="1:15" ht="15.75" thickBot="1" x14ac:dyDescent="0.3">
      <c r="A35" s="3">
        <v>60</v>
      </c>
      <c r="B35" s="3">
        <v>60.03</v>
      </c>
      <c r="C35" s="4"/>
      <c r="D35" s="5"/>
      <c r="E35" s="5"/>
      <c r="F35" s="5"/>
      <c r="G35" s="5"/>
      <c r="H35" s="5"/>
      <c r="I35" s="5">
        <v>60.010067425168202</v>
      </c>
      <c r="J35" s="5">
        <v>60.011609526498802</v>
      </c>
      <c r="K35" s="5"/>
      <c r="L35" s="6"/>
      <c r="M35" s="13">
        <f t="shared" si="14"/>
        <v>60.010838475833502</v>
      </c>
    </row>
    <row r="36" spans="1:15" ht="15.75" thickBot="1" x14ac:dyDescent="0.3">
      <c r="A36" s="3">
        <v>-40</v>
      </c>
      <c r="B36" s="3">
        <v>-39.96</v>
      </c>
      <c r="C36" s="4"/>
      <c r="D36" s="5"/>
      <c r="E36" s="5"/>
      <c r="F36" s="5"/>
      <c r="G36" s="5"/>
      <c r="H36" s="5"/>
      <c r="I36" s="5">
        <v>-39.982758435631403</v>
      </c>
      <c r="J36" s="5">
        <v>-39.980078317886402</v>
      </c>
      <c r="K36" s="5"/>
      <c r="L36" s="6"/>
      <c r="M36" s="13">
        <f t="shared" si="14"/>
        <v>-39.981418376758903</v>
      </c>
    </row>
    <row r="37" spans="1:15" ht="15.75" thickBot="1" x14ac:dyDescent="0.3">
      <c r="A37" s="3">
        <v>-35</v>
      </c>
      <c r="B37" s="3">
        <v>-35</v>
      </c>
      <c r="C37" s="4"/>
      <c r="D37" s="5"/>
      <c r="E37" s="5"/>
      <c r="F37" s="5"/>
      <c r="G37" s="5"/>
      <c r="H37" s="5"/>
      <c r="I37" s="5">
        <v>-34.9988118291135</v>
      </c>
      <c r="J37" s="5">
        <v>-34.998647300852298</v>
      </c>
      <c r="K37" s="5"/>
      <c r="L37" s="6"/>
      <c r="M37" s="13">
        <f t="shared" si="14"/>
        <v>-34.998729564982895</v>
      </c>
    </row>
    <row r="38" spans="1:15" ht="15.75" thickBot="1" x14ac:dyDescent="0.3">
      <c r="A38" s="3">
        <v>-30</v>
      </c>
      <c r="B38" s="3">
        <v>-29.97</v>
      </c>
      <c r="C38" s="18"/>
      <c r="D38" s="19"/>
      <c r="E38" s="19"/>
      <c r="F38" s="19"/>
      <c r="G38" s="19"/>
      <c r="H38" s="19"/>
      <c r="I38" s="19">
        <v>-29.989971576936</v>
      </c>
      <c r="J38" s="19">
        <v>-29.9883829794069</v>
      </c>
      <c r="K38" s="19"/>
      <c r="L38" s="20"/>
      <c r="M38" s="13">
        <f t="shared" si="14"/>
        <v>-29.98917727817145</v>
      </c>
    </row>
    <row r="39" spans="1:15" ht="15.75" thickBot="1" x14ac:dyDescent="0.3">
      <c r="I39" s="15"/>
    </row>
    <row r="40" spans="1:15" ht="15.75" thickBot="1" x14ac:dyDescent="0.3">
      <c r="C40" s="14">
        <f>(C26-$M33)^2</f>
        <v>1.2141525082870916E-9</v>
      </c>
      <c r="D40" s="14">
        <f>(D26-$M33)^2</f>
        <v>1.2141525082870916E-9</v>
      </c>
      <c r="E40" s="15">
        <f>(E26-$M26)^2</f>
        <v>6.1093631018233022E-8</v>
      </c>
      <c r="F40" s="15">
        <f t="shared" ref="F40:L40" si="15">(F26-$M26)^2</f>
        <v>3.9549076050619873E-10</v>
      </c>
      <c r="G40" s="15">
        <f t="shared" si="15"/>
        <v>1.2581312749857251E-7</v>
      </c>
      <c r="H40" s="15">
        <f t="shared" si="15"/>
        <v>2.5924089699611292E-7</v>
      </c>
      <c r="I40" s="15">
        <f t="shared" si="15"/>
        <v>9.2575115445083336E-8</v>
      </c>
      <c r="J40" s="15">
        <f t="shared" si="15"/>
        <v>3.2963803923563429E-8</v>
      </c>
      <c r="K40" s="15">
        <f t="shared" si="15"/>
        <v>1.8525448968739232E-10</v>
      </c>
      <c r="L40" s="15">
        <f t="shared" si="15"/>
        <v>2.9706736054864368E-7</v>
      </c>
      <c r="M40" s="3">
        <f>(SUM(C40:L40)/9)^0.5</f>
        <v>3.11227495517878E-4</v>
      </c>
    </row>
    <row r="41" spans="1:15" ht="15.75" thickBot="1" x14ac:dyDescent="0.3">
      <c r="C41" s="14">
        <f t="shared" ref="C41:D41" si="16">(C27-$M34)^2</f>
        <v>1.0419424559437112E-7</v>
      </c>
      <c r="D41" s="14">
        <f t="shared" si="16"/>
        <v>1.0419424559895825E-7</v>
      </c>
      <c r="E41" s="15">
        <f t="shared" ref="E41:L41" si="17">(E27-$M27)^2</f>
        <v>8.979181412595568E-7</v>
      </c>
      <c r="F41" s="15">
        <f t="shared" si="17"/>
        <v>3.5567917230508126E-8</v>
      </c>
      <c r="G41" s="15">
        <f t="shared" si="17"/>
        <v>3.394358911613006E-6</v>
      </c>
      <c r="H41" s="15">
        <f t="shared" si="17"/>
        <v>1.6983571926480144E-6</v>
      </c>
      <c r="I41" s="15">
        <f t="shared" si="17"/>
        <v>1.6141879036251025E-6</v>
      </c>
      <c r="J41" s="15">
        <f t="shared" si="17"/>
        <v>2.8586504886516327E-8</v>
      </c>
      <c r="K41" s="15">
        <f t="shared" si="17"/>
        <v>2.8586504886516327E-8</v>
      </c>
      <c r="L41" s="15">
        <f t="shared" si="17"/>
        <v>4.9751979142728955E-6</v>
      </c>
      <c r="M41" s="3">
        <f t="shared" ref="M41:M45" si="18">(SUM(C41:L41)/9)^0.5</f>
        <v>1.1963439435591276E-3</v>
      </c>
    </row>
    <row r="42" spans="1:15" ht="15.75" thickBot="1" x14ac:dyDescent="0.3">
      <c r="C42" s="14">
        <f t="shared" ref="C42:D42" si="19">(C28-$M35)^2</f>
        <v>5.9451912845928055E-7</v>
      </c>
      <c r="D42" s="14">
        <f t="shared" si="19"/>
        <v>5.9451912845928055E-7</v>
      </c>
      <c r="E42" s="15">
        <f t="shared" ref="E42:L42" si="20">(E28-$M28)^2</f>
        <v>1.5120426838291502E-5</v>
      </c>
      <c r="F42" s="15">
        <f t="shared" si="20"/>
        <v>3.0171516204237209E-7</v>
      </c>
      <c r="G42" s="15">
        <f t="shared" si="20"/>
        <v>5.1012543434661067E-5</v>
      </c>
      <c r="H42" s="15">
        <f t="shared" si="20"/>
        <v>3.1828382658338875E-5</v>
      </c>
      <c r="I42" s="15">
        <f t="shared" si="20"/>
        <v>2.5881476538709943E-5</v>
      </c>
      <c r="J42" s="15">
        <f t="shared" si="20"/>
        <v>3.0171516204237209E-7</v>
      </c>
      <c r="K42" s="15">
        <f t="shared" si="20"/>
        <v>2.1600415078868656E-7</v>
      </c>
      <c r="L42" s="15">
        <f t="shared" si="20"/>
        <v>7.9444964988522649E-5</v>
      </c>
      <c r="M42" s="3">
        <f t="shared" si="18"/>
        <v>4.7760544756607999E-3</v>
      </c>
    </row>
    <row r="43" spans="1:15" ht="15.75" thickBot="1" x14ac:dyDescent="0.3">
      <c r="C43" s="14">
        <f t="shared" ref="C43:D43" si="21">(C29-$M36)^2</f>
        <v>1.7957577817674429E-6</v>
      </c>
      <c r="D43" s="14">
        <f t="shared" si="21"/>
        <v>1.7957577817674429E-6</v>
      </c>
      <c r="E43" s="15">
        <f t="shared" ref="E43:L43" si="22">(E29-$M29)^2</f>
        <v>1.4360250129069263E-4</v>
      </c>
      <c r="F43" s="15">
        <f t="shared" si="22"/>
        <v>2.0128506332219991E-6</v>
      </c>
      <c r="G43" s="15">
        <f t="shared" si="22"/>
        <v>3.7772646849036553E-4</v>
      </c>
      <c r="H43" s="15">
        <f t="shared" si="22"/>
        <v>1.3217839874319238E-4</v>
      </c>
      <c r="I43" s="15">
        <f t="shared" si="22"/>
        <v>2.1812568069917471E-4</v>
      </c>
      <c r="J43" s="15">
        <f t="shared" si="22"/>
        <v>3.5603793688596461E-4</v>
      </c>
      <c r="K43" s="15">
        <f t="shared" si="22"/>
        <v>2.6516244922685057E-6</v>
      </c>
      <c r="L43" s="15">
        <f t="shared" si="22"/>
        <v>3.5603793688596461E-4</v>
      </c>
      <c r="M43" s="3">
        <f t="shared" si="18"/>
        <v>1.3299811668191979E-2</v>
      </c>
    </row>
    <row r="44" spans="1:15" ht="15.75" thickBot="1" x14ac:dyDescent="0.3">
      <c r="C44" s="14">
        <f t="shared" ref="C44:D44" si="23">(C30-$M37)^2</f>
        <v>6.7673871841002044E-9</v>
      </c>
      <c r="D44" s="14">
        <f t="shared" si="23"/>
        <v>6.7673871829311608E-9</v>
      </c>
      <c r="E44" s="15">
        <f t="shared" ref="E44:L44" si="24">(E30-$M30)^2</f>
        <v>5.7495363102646601E-7</v>
      </c>
      <c r="F44" s="15">
        <f t="shared" si="24"/>
        <v>1.6399010117998279E-10</v>
      </c>
      <c r="G44" s="15">
        <f t="shared" si="24"/>
        <v>8.7309567924701529E-7</v>
      </c>
      <c r="H44" s="15">
        <f t="shared" si="24"/>
        <v>2.8811509571956971E-6</v>
      </c>
      <c r="I44" s="15">
        <f t="shared" si="24"/>
        <v>8.1119652895549209E-7</v>
      </c>
      <c r="J44" s="15">
        <f t="shared" si="24"/>
        <v>3.5819004190935392E-7</v>
      </c>
      <c r="K44" s="15">
        <f t="shared" si="24"/>
        <v>4.9975666896677662E-11</v>
      </c>
      <c r="L44" s="15">
        <f t="shared" si="24"/>
        <v>2.2161541279579182E-6</v>
      </c>
      <c r="M44" s="3">
        <f t="shared" si="18"/>
        <v>9.26672044734217E-4</v>
      </c>
    </row>
    <row r="45" spans="1:15" ht="15.75" thickBot="1" x14ac:dyDescent="0.3">
      <c r="C45" s="14">
        <f t="shared" ref="C45:D45" si="25">(C31-$M38)^2</f>
        <v>6.3091052736557681E-7</v>
      </c>
      <c r="D45" s="14">
        <f t="shared" si="25"/>
        <v>6.3091052736557681E-7</v>
      </c>
      <c r="E45" s="15">
        <f t="shared" ref="E45:L45" si="26">(E31-$M31)^2</f>
        <v>2.8043840656888471E-5</v>
      </c>
      <c r="F45" s="15">
        <f t="shared" si="26"/>
        <v>1.1117918236323126E-6</v>
      </c>
      <c r="G45" s="15">
        <f t="shared" si="26"/>
        <v>9.2871592578442329E-5</v>
      </c>
      <c r="H45" s="15">
        <f t="shared" si="26"/>
        <v>7.9767972074387547E-5</v>
      </c>
      <c r="I45" s="15">
        <f t="shared" si="26"/>
        <v>4.8396114372915505E-5</v>
      </c>
      <c r="J45" s="15">
        <f t="shared" si="26"/>
        <v>1.1166818179805566E-5</v>
      </c>
      <c r="K45" s="15">
        <f t="shared" si="26"/>
        <v>8.5997816317568089E-7</v>
      </c>
      <c r="L45" s="15">
        <f t="shared" si="26"/>
        <v>2.0500477258625379E-4</v>
      </c>
      <c r="M45" s="3">
        <f t="shared" si="18"/>
        <v>7.2148358069423126E-3</v>
      </c>
    </row>
    <row r="46" spans="1:15" ht="15.75" thickBot="1" x14ac:dyDescent="0.3">
      <c r="N46" s="22"/>
      <c r="O4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opLeftCell="C28" zoomScale="85" zoomScaleNormal="85" workbookViewId="0">
      <selection activeCell="P38" sqref="P38"/>
    </sheetView>
  </sheetViews>
  <sheetFormatPr baseColWidth="10" defaultRowHeight="15" x14ac:dyDescent="0.25"/>
  <cols>
    <col min="1" max="2" width="11.42578125" style="3"/>
    <col min="3" max="3" width="23.140625" style="10" customWidth="1"/>
    <col min="4" max="11" width="14.85546875" style="11" customWidth="1"/>
    <col min="12" max="12" width="14.85546875" style="12" customWidth="1"/>
    <col min="13" max="13" width="11.42578125" style="3"/>
    <col min="14" max="14" width="13.7109375" bestFit="1" customWidth="1"/>
    <col min="15" max="16" width="13.42578125" bestFit="1" customWidth="1"/>
  </cols>
  <sheetData>
    <row r="1" spans="1:16" ht="15.75" thickBot="1" x14ac:dyDescent="0.3">
      <c r="A1" s="13"/>
      <c r="M1" s="3" t="s">
        <v>9</v>
      </c>
      <c r="N1" t="s">
        <v>10</v>
      </c>
      <c r="O1" t="s">
        <v>11</v>
      </c>
    </row>
    <row r="2" spans="1:16" ht="15.75" thickBot="1" x14ac:dyDescent="0.3">
      <c r="A2" s="31">
        <v>77</v>
      </c>
      <c r="B2" s="32">
        <v>77</v>
      </c>
      <c r="C2" s="14">
        <v>77.000011884318795</v>
      </c>
      <c r="D2" s="15">
        <v>77.000011845773102</v>
      </c>
      <c r="E2" s="15">
        <v>77.000011845718603</v>
      </c>
      <c r="F2" s="15">
        <v>77.000011845718504</v>
      </c>
      <c r="G2" s="15">
        <v>77.000011845718504</v>
      </c>
      <c r="H2" s="15">
        <v>77.000011845718603</v>
      </c>
      <c r="I2" s="15">
        <v>77.000011845718603</v>
      </c>
      <c r="J2" s="15">
        <v>77.000011845718504</v>
      </c>
      <c r="K2" s="15">
        <v>77.000011845718603</v>
      </c>
      <c r="L2" s="16">
        <v>77.000011845718603</v>
      </c>
      <c r="M2" s="13">
        <f>AVERAGE(C2:L2)</f>
        <v>77.000011849584055</v>
      </c>
      <c r="N2" s="27">
        <f t="shared" ref="N2:N15" si="0">ABS(M2-A2)</f>
        <v>1.1849584055312334E-5</v>
      </c>
      <c r="O2" s="27">
        <f t="shared" ref="O2:O15" si="1">ABS(M2-B2)</f>
        <v>1.1849584055312334E-5</v>
      </c>
      <c r="P2" s="27">
        <f>_xlfn.STDEV.S(C2:L2)</f>
        <v>1.2204559955372022E-8</v>
      </c>
    </row>
    <row r="3" spans="1:16" ht="15.75" thickBot="1" x14ac:dyDescent="0.3">
      <c r="A3" s="33">
        <v>55</v>
      </c>
      <c r="B3" s="33">
        <v>51.5</v>
      </c>
      <c r="C3" s="4" t="s">
        <v>4</v>
      </c>
      <c r="D3" s="5">
        <v>51.520002154340901</v>
      </c>
      <c r="E3" s="5">
        <v>51.520024468483001</v>
      </c>
      <c r="F3" s="5">
        <v>51.5200245001393</v>
      </c>
      <c r="G3" s="5">
        <v>51.520024499940298</v>
      </c>
      <c r="H3" s="5">
        <v>51.520024499665901</v>
      </c>
      <c r="I3" s="5">
        <v>51.520024499717998</v>
      </c>
      <c r="J3" s="5">
        <v>51.520024500005597</v>
      </c>
      <c r="K3" s="5">
        <v>51.520024499704299</v>
      </c>
      <c r="L3" s="6">
        <v>51.520024500076801</v>
      </c>
      <c r="M3" s="13">
        <f t="shared" ref="M3:M15" si="2">AVERAGE(C3:L3)</f>
        <v>51.520022013563789</v>
      </c>
      <c r="N3" s="27">
        <f t="shared" si="0"/>
        <v>3.4799779864362108</v>
      </c>
      <c r="O3" s="27">
        <f t="shared" si="1"/>
        <v>2.0022013563789187E-2</v>
      </c>
      <c r="P3" s="27">
        <f t="shared" ref="P3:P7" si="3">_xlfn.STDEV.S(C3:L3)</f>
        <v>7.4472158295649203E-6</v>
      </c>
    </row>
    <row r="4" spans="1:16" ht="15.75" thickBot="1" x14ac:dyDescent="0.3">
      <c r="A4" s="33">
        <v>-17</v>
      </c>
      <c r="B4" s="33">
        <v>-23.89</v>
      </c>
      <c r="C4" s="4" t="s">
        <v>5</v>
      </c>
      <c r="D4" s="5">
        <v>-23.847543891226</v>
      </c>
      <c r="E4" s="5">
        <v>-23.847499972838101</v>
      </c>
      <c r="F4" s="5">
        <v>-23.847499910532498</v>
      </c>
      <c r="G4" s="5">
        <v>-23.847499910924299</v>
      </c>
      <c r="H4" s="5">
        <v>-23.847499911464102</v>
      </c>
      <c r="I4" s="5">
        <v>-23.847499911361702</v>
      </c>
      <c r="J4" s="5">
        <v>-23.847499910795701</v>
      </c>
      <c r="K4" s="5">
        <v>-23.847499911388802</v>
      </c>
      <c r="L4" s="6">
        <v>-23.847499910655699</v>
      </c>
      <c r="M4" s="13">
        <f t="shared" si="2"/>
        <v>-23.847504804576324</v>
      </c>
      <c r="N4" s="27">
        <f t="shared" si="0"/>
        <v>6.8475048045763245</v>
      </c>
      <c r="O4" s="27">
        <f t="shared" si="1"/>
        <v>4.249519542367608E-2</v>
      </c>
      <c r="P4" s="27">
        <f t="shared" si="3"/>
        <v>1.4657507891820267E-5</v>
      </c>
    </row>
    <row r="5" spans="1:16" ht="15.75" thickBot="1" x14ac:dyDescent="0.3">
      <c r="A5" s="33">
        <v>90</v>
      </c>
      <c r="B5" s="33">
        <v>83.75</v>
      </c>
      <c r="C5" s="4" t="s">
        <v>6</v>
      </c>
      <c r="D5" s="5">
        <v>83.791349448738799</v>
      </c>
      <c r="E5" s="5">
        <v>83.791392241540706</v>
      </c>
      <c r="F5" s="5">
        <v>83.791392302256597</v>
      </c>
      <c r="G5" s="5">
        <v>83.791392301869195</v>
      </c>
      <c r="H5" s="5">
        <v>83.791392301348495</v>
      </c>
      <c r="I5" s="5">
        <v>83.791392301447303</v>
      </c>
      <c r="J5" s="5">
        <v>83.791392301996794</v>
      </c>
      <c r="K5" s="5">
        <v>83.791392301418895</v>
      </c>
      <c r="L5" s="6">
        <v>83.791392302130305</v>
      </c>
      <c r="M5" s="13">
        <f t="shared" si="2"/>
        <v>83.791387533638556</v>
      </c>
      <c r="N5" s="27">
        <f t="shared" si="0"/>
        <v>6.2086124663614441</v>
      </c>
      <c r="O5" s="27">
        <f t="shared" si="1"/>
        <v>4.1387533638555851E-2</v>
      </c>
      <c r="P5" s="27">
        <f t="shared" si="3"/>
        <v>1.4281851311555761E-5</v>
      </c>
    </row>
    <row r="6" spans="1:16" ht="15.75" thickBot="1" x14ac:dyDescent="0.3">
      <c r="A6" s="33">
        <v>4</v>
      </c>
      <c r="B6" s="33">
        <v>4</v>
      </c>
      <c r="C6" s="4" t="s">
        <v>7</v>
      </c>
      <c r="D6" s="5">
        <v>4.0013063167406901</v>
      </c>
      <c r="E6" s="5">
        <v>4.0013062961670096</v>
      </c>
      <c r="F6" s="5">
        <v>4.0013062961382797</v>
      </c>
      <c r="G6" s="5">
        <v>4.0013062961381296</v>
      </c>
      <c r="H6" s="5">
        <v>4.0013062961386803</v>
      </c>
      <c r="I6" s="5">
        <v>4.0013062961385799</v>
      </c>
      <c r="J6" s="5">
        <v>4.0013062961382104</v>
      </c>
      <c r="K6" s="5">
        <v>4.00130629613842</v>
      </c>
      <c r="L6" s="6">
        <v>4.0013062961379697</v>
      </c>
      <c r="M6" s="13">
        <f t="shared" si="2"/>
        <v>4.0013062984306629</v>
      </c>
      <c r="N6" s="27">
        <f t="shared" si="0"/>
        <v>1.3062984306628778E-3</v>
      </c>
      <c r="O6" s="27">
        <f t="shared" si="1"/>
        <v>1.3062984306628778E-3</v>
      </c>
      <c r="P6" s="27">
        <f t="shared" si="3"/>
        <v>6.8662666362141945E-9</v>
      </c>
    </row>
    <row r="7" spans="1:16" ht="15.75" thickBot="1" x14ac:dyDescent="0.3">
      <c r="A7" s="34">
        <v>100</v>
      </c>
      <c r="B7" s="34">
        <v>97.14</v>
      </c>
      <c r="C7" s="18" t="s">
        <v>8</v>
      </c>
      <c r="D7" s="19">
        <v>97.159293585908401</v>
      </c>
      <c r="E7" s="19">
        <v>97.159314771750502</v>
      </c>
      <c r="F7" s="19">
        <v>97.159314801813096</v>
      </c>
      <c r="G7" s="19">
        <v>97.159314801618606</v>
      </c>
      <c r="H7" s="19">
        <v>97.159314801363394</v>
      </c>
      <c r="I7" s="19">
        <v>97.159314801411796</v>
      </c>
      <c r="J7" s="19">
        <v>97.159314801682896</v>
      </c>
      <c r="K7" s="19">
        <v>97.159314801396803</v>
      </c>
      <c r="L7" s="20">
        <v>97.159314801747499</v>
      </c>
      <c r="M7" s="13">
        <f t="shared" si="2"/>
        <v>97.159312440965891</v>
      </c>
      <c r="N7" s="27">
        <f t="shared" si="0"/>
        <v>2.8406875590341087</v>
      </c>
      <c r="O7" s="27">
        <f t="shared" si="1"/>
        <v>1.9312440965890687E-2</v>
      </c>
      <c r="P7" s="27">
        <f t="shared" si="3"/>
        <v>7.0706534399133769E-6</v>
      </c>
    </row>
    <row r="8" spans="1:16" ht="15.75" thickBot="1" x14ac:dyDescent="0.3">
      <c r="C8" s="4"/>
      <c r="D8" s="5"/>
      <c r="E8" s="5"/>
      <c r="F8" s="5"/>
      <c r="G8" s="5"/>
      <c r="H8" s="5"/>
      <c r="I8" s="5"/>
      <c r="J8" s="5"/>
      <c r="K8" s="5"/>
      <c r="L8" s="6"/>
      <c r="M8" s="13"/>
      <c r="N8" s="28">
        <f>AVERAGE(N2:N7)</f>
        <v>3.2296834940704677</v>
      </c>
      <c r="O8" s="29">
        <f>AVERAGE(O2:O7)</f>
        <v>2.0755888601104999E-2</v>
      </c>
    </row>
    <row r="9" spans="1:16" ht="15.75" thickBot="1" x14ac:dyDescent="0.3">
      <c r="C9" s="7"/>
      <c r="D9" s="8"/>
      <c r="E9" s="8"/>
      <c r="F9" s="8"/>
      <c r="G9" s="8"/>
      <c r="H9" s="8"/>
      <c r="I9" s="8"/>
      <c r="J9" s="8"/>
      <c r="K9" s="8"/>
      <c r="L9" s="9"/>
      <c r="M9" s="13"/>
      <c r="O9" s="24">
        <f>MAX(O2:O7)</f>
        <v>4.249519542367608E-2</v>
      </c>
    </row>
    <row r="10" spans="1:16" ht="15.75" thickBot="1" x14ac:dyDescent="0.3">
      <c r="A10" s="32">
        <v>0</v>
      </c>
      <c r="B10" s="32">
        <v>2.34</v>
      </c>
      <c r="C10" s="14">
        <v>2.3406291065324298</v>
      </c>
      <c r="D10" s="15">
        <v>2.3408769117338601</v>
      </c>
      <c r="E10" s="15">
        <v>2.3408772604883099</v>
      </c>
      <c r="F10" s="15">
        <v>2.34087726099719</v>
      </c>
      <c r="G10" s="15">
        <v>2.3408772609633499</v>
      </c>
      <c r="H10" s="15">
        <v>2.3408772610221802</v>
      </c>
      <c r="I10" s="15">
        <v>2.3408772609919</v>
      </c>
      <c r="J10" s="15">
        <v>2.34087726099518</v>
      </c>
      <c r="K10" s="15">
        <v>2.3408772610210802</v>
      </c>
      <c r="L10" s="16">
        <v>2.3408772609969501</v>
      </c>
      <c r="M10" s="13">
        <f t="shared" si="2"/>
        <v>2.340852410574243</v>
      </c>
      <c r="N10" s="30">
        <f t="shared" si="0"/>
        <v>2.340852410574243</v>
      </c>
      <c r="O10" s="30">
        <f t="shared" si="1"/>
        <v>8.5241057424312316E-4</v>
      </c>
      <c r="P10" s="30">
        <f>_xlfn.STDEV.S(C10:L10)</f>
        <v>7.8461119287837617E-5</v>
      </c>
    </row>
    <row r="11" spans="1:16" ht="15.75" thickBot="1" x14ac:dyDescent="0.3">
      <c r="A11" s="33">
        <v>0</v>
      </c>
      <c r="B11" s="33">
        <v>-0.19</v>
      </c>
      <c r="C11" s="4">
        <v>-0.17749017063396999</v>
      </c>
      <c r="D11" s="5">
        <v>-0.17747056042107701</v>
      </c>
      <c r="E11" s="5">
        <v>-0.17747053290150899</v>
      </c>
      <c r="F11" s="5">
        <v>-0.17747053280785499</v>
      </c>
      <c r="G11" s="5">
        <v>-0.17747053292301099</v>
      </c>
      <c r="H11" s="5">
        <v>-0.177470532673555</v>
      </c>
      <c r="I11" s="5">
        <v>-0.177470532800305</v>
      </c>
      <c r="J11" s="5">
        <v>-0.17747053280348499</v>
      </c>
      <c r="K11" s="5">
        <v>-0.17747053271150001</v>
      </c>
      <c r="L11" s="6">
        <v>-0.17747053280785999</v>
      </c>
      <c r="M11" s="13">
        <f t="shared" si="2"/>
        <v>-0.17747249934841269</v>
      </c>
      <c r="N11" s="30">
        <f t="shared" si="0"/>
        <v>0.17747249934841269</v>
      </c>
      <c r="O11" s="30">
        <f t="shared" si="1"/>
        <v>1.2527500651587309E-2</v>
      </c>
      <c r="P11" s="30">
        <f t="shared" ref="P11:P15" si="4">_xlfn.STDEV.S(C11:L11)</f>
        <v>6.209062904885388E-6</v>
      </c>
    </row>
    <row r="12" spans="1:16" ht="15.75" thickBot="1" x14ac:dyDescent="0.3">
      <c r="A12" s="33">
        <v>0</v>
      </c>
      <c r="B12" s="33">
        <v>-0.03</v>
      </c>
      <c r="C12" s="4">
        <v>1.12746515227026E-2</v>
      </c>
      <c r="D12" s="5">
        <v>1.1367532015186799E-2</v>
      </c>
      <c r="E12" s="5">
        <v>1.1367662615951899E-2</v>
      </c>
      <c r="F12" s="5">
        <v>1.1367662887653601E-2</v>
      </c>
      <c r="G12" s="5">
        <v>1.1367662704477701E-2</v>
      </c>
      <c r="H12" s="5">
        <v>1.13676631009921E-2</v>
      </c>
      <c r="I12" s="5">
        <v>1.1367662898449199E-2</v>
      </c>
      <c r="J12" s="5">
        <v>1.1367662894839099E-2</v>
      </c>
      <c r="K12" s="5">
        <v>1.13676630377151E-2</v>
      </c>
      <c r="L12" s="6">
        <v>1.13676628869621E-2</v>
      </c>
      <c r="M12" s="13">
        <f t="shared" si="2"/>
        <v>1.135834865649302E-2</v>
      </c>
      <c r="N12" s="30">
        <f t="shared" si="0"/>
        <v>1.135834865649302E-2</v>
      </c>
      <c r="O12" s="30">
        <f t="shared" si="1"/>
        <v>4.1358348656493016E-2</v>
      </c>
      <c r="P12" s="30">
        <f t="shared" si="4"/>
        <v>2.9408203913381095E-5</v>
      </c>
    </row>
    <row r="13" spans="1:16" ht="15.75" thickBot="1" x14ac:dyDescent="0.3">
      <c r="A13" s="33">
        <v>0</v>
      </c>
      <c r="B13" s="33">
        <v>0.09</v>
      </c>
      <c r="C13" s="4">
        <v>0.17644830458924801</v>
      </c>
      <c r="D13" s="5">
        <v>0.17655272866982899</v>
      </c>
      <c r="E13" s="5">
        <v>0.17655287569849401</v>
      </c>
      <c r="F13" s="5">
        <v>0.17655287587701099</v>
      </c>
      <c r="G13" s="5">
        <v>0.17655287593878599</v>
      </c>
      <c r="H13" s="5">
        <v>0.17655287580949899</v>
      </c>
      <c r="I13" s="5">
        <v>0.17655287587174801</v>
      </c>
      <c r="J13" s="5">
        <v>0.17655287587667601</v>
      </c>
      <c r="K13" s="5">
        <v>0.17655287581631801</v>
      </c>
      <c r="L13" s="6">
        <v>0.176552875874848</v>
      </c>
      <c r="M13" s="13">
        <f t="shared" si="2"/>
        <v>0.17654240400224572</v>
      </c>
      <c r="N13" s="30">
        <f t="shared" si="0"/>
        <v>0.17654240400224572</v>
      </c>
      <c r="O13" s="30">
        <f t="shared" si="1"/>
        <v>8.6542404002245721E-2</v>
      </c>
      <c r="P13" s="30">
        <f t="shared" si="4"/>
        <v>3.3063195858515473E-5</v>
      </c>
    </row>
    <row r="14" spans="1:16" ht="15.75" thickBot="1" x14ac:dyDescent="0.3">
      <c r="A14" s="33">
        <v>0</v>
      </c>
      <c r="B14" s="33">
        <v>-2.34</v>
      </c>
      <c r="C14" s="4">
        <v>-2.3426115255158599</v>
      </c>
      <c r="D14" s="5">
        <v>-2.3428607990279899</v>
      </c>
      <c r="E14" s="5">
        <v>-2.3428611498563598</v>
      </c>
      <c r="F14" s="5">
        <v>-2.3428611503629599</v>
      </c>
      <c r="G14" s="5">
        <v>-2.3428611503401902</v>
      </c>
      <c r="H14" s="5">
        <v>-2.34286115037539</v>
      </c>
      <c r="I14" s="5">
        <v>-2.3428611503569501</v>
      </c>
      <c r="J14" s="5">
        <v>-2.34286115036064</v>
      </c>
      <c r="K14" s="5">
        <v>-2.3428611503771002</v>
      </c>
      <c r="L14" s="6">
        <v>-2.34286115036261</v>
      </c>
      <c r="M14" s="13">
        <f t="shared" si="2"/>
        <v>-2.342836152693605</v>
      </c>
      <c r="N14" s="30">
        <f t="shared" si="0"/>
        <v>2.342836152693605</v>
      </c>
      <c r="O14" s="30">
        <f t="shared" si="1"/>
        <v>2.836152693605154E-3</v>
      </c>
      <c r="P14" s="30">
        <f t="shared" si="4"/>
        <v>7.8926022320788795E-5</v>
      </c>
    </row>
    <row r="15" spans="1:16" ht="15.75" thickBot="1" x14ac:dyDescent="0.3">
      <c r="A15" s="34">
        <v>0</v>
      </c>
      <c r="B15" s="34">
        <v>-0.08</v>
      </c>
      <c r="C15" s="18">
        <v>-1.1618882999155001E-2</v>
      </c>
      <c r="D15" s="19">
        <v>-1.15873405509278E-2</v>
      </c>
      <c r="E15" s="19">
        <v>-1.1587296053886399E-2</v>
      </c>
      <c r="F15" s="19">
        <v>-1.1587296054395299E-2</v>
      </c>
      <c r="G15" s="19">
        <v>-1.1587295920888301E-2</v>
      </c>
      <c r="H15" s="19">
        <v>-1.15872962052554E-2</v>
      </c>
      <c r="I15" s="19">
        <v>-1.1587296063199099E-2</v>
      </c>
      <c r="J15" s="19">
        <v>-1.1587296057652199E-2</v>
      </c>
      <c r="K15" s="19">
        <v>-1.15872961720122E-2</v>
      </c>
      <c r="L15" s="20">
        <v>-1.15872960558965E-2</v>
      </c>
      <c r="M15" s="13">
        <f t="shared" si="2"/>
        <v>-1.1590459213326821E-2</v>
      </c>
      <c r="N15" s="30">
        <f t="shared" si="0"/>
        <v>1.1590459213326821E-2</v>
      </c>
      <c r="O15" s="30">
        <f t="shared" si="1"/>
        <v>6.8409540786673176E-2</v>
      </c>
      <c r="P15" s="30">
        <f t="shared" si="4"/>
        <v>9.9871101091343138E-6</v>
      </c>
    </row>
    <row r="16" spans="1:16" ht="15.75" thickBot="1" x14ac:dyDescent="0.3">
      <c r="C16" s="7"/>
      <c r="D16" s="8"/>
      <c r="E16" s="8"/>
      <c r="F16" s="8"/>
      <c r="G16" s="8"/>
      <c r="H16" s="8"/>
      <c r="I16" s="8"/>
      <c r="J16" s="8"/>
      <c r="K16" s="8"/>
      <c r="L16" s="9"/>
      <c r="M16" s="13"/>
      <c r="N16" s="28">
        <f>AVERAGE(N10:N15)</f>
        <v>0.84344204574805437</v>
      </c>
      <c r="O16" s="29">
        <f>AVERAGE(O10:O15)</f>
        <v>3.5421059560807912E-2</v>
      </c>
      <c r="P16" s="30"/>
    </row>
    <row r="17" spans="1:16" ht="15.75" thickBot="1" x14ac:dyDescent="0.3">
      <c r="C17" s="7"/>
      <c r="D17" s="8"/>
      <c r="E17" s="8"/>
      <c r="F17" s="8"/>
      <c r="G17" s="8"/>
      <c r="H17" s="8"/>
      <c r="I17" s="8"/>
      <c r="J17" s="8"/>
      <c r="K17" s="8"/>
      <c r="L17" s="9"/>
      <c r="M17" s="13"/>
      <c r="O17">
        <f>MAX(O10:O15)</f>
        <v>8.6542404002245721E-2</v>
      </c>
    </row>
    <row r="18" spans="1:16" ht="15.75" thickBot="1" x14ac:dyDescent="0.3">
      <c r="A18" s="13"/>
      <c r="B18" s="13"/>
      <c r="C18" s="14">
        <v>2.8599769257028701E-2</v>
      </c>
      <c r="D18" s="15">
        <v>77.000011909366805</v>
      </c>
      <c r="E18" s="15">
        <v>-144.045290709939</v>
      </c>
      <c r="F18" s="15">
        <v>-101.942320559038</v>
      </c>
      <c r="G18" s="15">
        <v>164.40125977930501</v>
      </c>
      <c r="H18" s="15">
        <v>24.999991236110699</v>
      </c>
      <c r="I18" s="15">
        <v>55.000067000630999</v>
      </c>
      <c r="J18" s="15">
        <v>140.00001531891101</v>
      </c>
      <c r="K18" s="15">
        <v>115.00015723016099</v>
      </c>
      <c r="L18" s="16">
        <v>-97.653824062854397</v>
      </c>
      <c r="M18" s="13"/>
    </row>
    <row r="19" spans="1:16" ht="15.75" thickBot="1" x14ac:dyDescent="0.3">
      <c r="C19" s="4">
        <v>-5.7795065800030996E-3</v>
      </c>
      <c r="D19" s="5">
        <v>51.493817190420202</v>
      </c>
      <c r="E19" s="5">
        <v>47.901511742288903</v>
      </c>
      <c r="F19" s="5">
        <v>-23.901215649368101</v>
      </c>
      <c r="G19" s="5">
        <v>-2.4133469463677302</v>
      </c>
      <c r="H19" s="5">
        <v>0.15515095663561401</v>
      </c>
      <c r="I19" s="5">
        <v>55.010895043196399</v>
      </c>
      <c r="J19" s="5">
        <v>-26.344256399090298</v>
      </c>
      <c r="K19" s="5">
        <v>115.002364474906</v>
      </c>
      <c r="L19" s="6">
        <v>-1.29829542167697</v>
      </c>
      <c r="M19" s="13"/>
    </row>
    <row r="20" spans="1:16" ht="15.75" thickBot="1" x14ac:dyDescent="0.3">
      <c r="C20" s="4">
        <v>-5.7209217337045398E-2</v>
      </c>
      <c r="D20" s="5">
        <v>-23.899081485533198</v>
      </c>
      <c r="E20" s="5">
        <v>99.114886335829397</v>
      </c>
      <c r="F20" s="5">
        <v>41.278105437157102</v>
      </c>
      <c r="G20" s="5">
        <v>21.777523907362799</v>
      </c>
      <c r="H20" s="5">
        <v>-25.310004218441101</v>
      </c>
      <c r="I20" s="5">
        <v>55.013920752867499</v>
      </c>
      <c r="J20" s="5">
        <v>-140.30844680229501</v>
      </c>
      <c r="K20" s="5">
        <v>115.00486746238001</v>
      </c>
      <c r="L20" s="6">
        <v>95.635816940035497</v>
      </c>
      <c r="M20" s="13"/>
    </row>
    <row r="21" spans="1:16" ht="15.75" thickBot="1" x14ac:dyDescent="0.3">
      <c r="C21" s="4">
        <v>-0.15706427044745899</v>
      </c>
      <c r="D21" s="5">
        <v>83.741106359664698</v>
      </c>
      <c r="E21" s="5">
        <v>-78.527865575746205</v>
      </c>
      <c r="F21" s="5">
        <v>-86.041227828000402</v>
      </c>
      <c r="G21" s="5">
        <v>17.5660856562459</v>
      </c>
      <c r="H21" s="5">
        <v>-0.47506619858756799</v>
      </c>
      <c r="I21" s="5">
        <v>54.981406901073001</v>
      </c>
      <c r="J21" s="5">
        <v>-3.9756622156594301</v>
      </c>
      <c r="K21" s="5">
        <v>-39.988371811075503</v>
      </c>
      <c r="L21" s="6">
        <v>2.0695600952039301</v>
      </c>
      <c r="M21" s="13"/>
    </row>
    <row r="22" spans="1:16" ht="15.75" thickBot="1" x14ac:dyDescent="0.3">
      <c r="C22" s="4">
        <v>-7.7854186250981297E-2</v>
      </c>
      <c r="D22" s="5">
        <v>4.00133059509856</v>
      </c>
      <c r="E22" s="5">
        <v>107.905460839957</v>
      </c>
      <c r="F22" s="5">
        <v>124.51337338272999</v>
      </c>
      <c r="G22" s="5">
        <v>-125.07643921043901</v>
      </c>
      <c r="H22" s="5">
        <v>24.999967080761401</v>
      </c>
      <c r="I22" s="5">
        <v>54.998390376461302</v>
      </c>
      <c r="J22" s="5">
        <v>140.00025166825401</v>
      </c>
      <c r="K22" s="5">
        <v>114.998867615013</v>
      </c>
      <c r="L22" s="6">
        <v>-86.090023736150897</v>
      </c>
      <c r="M22" s="13"/>
    </row>
    <row r="23" spans="1:16" ht="15.75" thickBot="1" x14ac:dyDescent="0.3">
      <c r="A23" s="17"/>
      <c r="B23" s="17"/>
      <c r="C23" s="18">
        <v>-0.12259274925427401</v>
      </c>
      <c r="D23" s="19">
        <v>97.1344063132114</v>
      </c>
      <c r="E23" s="19">
        <v>-34.071338116809898</v>
      </c>
      <c r="F23" s="19">
        <v>99.424095024121101</v>
      </c>
      <c r="G23" s="19">
        <v>4.9077450050270697</v>
      </c>
      <c r="H23" s="19">
        <v>24.990384612973799</v>
      </c>
      <c r="I23" s="19">
        <v>54.980379512854903</v>
      </c>
      <c r="J23" s="19">
        <v>140.00990243655099</v>
      </c>
      <c r="K23" s="19">
        <v>114.994406356618</v>
      </c>
      <c r="L23" s="20">
        <v>82.390665879424304</v>
      </c>
      <c r="M23" s="13"/>
    </row>
    <row r="24" spans="1:16" x14ac:dyDescent="0.25">
      <c r="C24" s="4"/>
      <c r="D24" s="5"/>
      <c r="E24" s="5"/>
      <c r="F24" s="5"/>
      <c r="G24" s="5"/>
      <c r="H24" s="5"/>
      <c r="I24" s="5"/>
      <c r="J24" s="5"/>
      <c r="K24" s="5"/>
      <c r="L24" s="6"/>
    </row>
    <row r="25" spans="1:16" ht="15.75" thickBot="1" x14ac:dyDescent="0.3">
      <c r="C25" s="7"/>
      <c r="D25" s="8"/>
      <c r="E25" s="8"/>
      <c r="F25" s="8"/>
      <c r="G25" s="8"/>
      <c r="H25" s="8"/>
      <c r="I25" s="8"/>
      <c r="J25" s="8"/>
      <c r="K25" s="8"/>
      <c r="L25" s="9"/>
    </row>
    <row r="26" spans="1:16" ht="15.75" thickBot="1" x14ac:dyDescent="0.3">
      <c r="A26" s="32">
        <v>163</v>
      </c>
      <c r="B26" s="32">
        <v>163.91</v>
      </c>
      <c r="C26" s="14"/>
      <c r="D26" s="15"/>
      <c r="E26" s="14">
        <v>163.90856438016201</v>
      </c>
      <c r="F26" s="15">
        <v>163.90883143836999</v>
      </c>
      <c r="G26" s="15">
        <v>163.90845684995799</v>
      </c>
      <c r="H26" s="15">
        <v>163.909320708466</v>
      </c>
      <c r="I26" s="15">
        <v>163.90850728983</v>
      </c>
      <c r="J26" s="15">
        <v>163.90862999205299</v>
      </c>
      <c r="K26" s="15">
        <v>163.90882516224301</v>
      </c>
      <c r="L26" s="16">
        <v>163.90935659028199</v>
      </c>
      <c r="M26" s="13">
        <f>SUM(C26:L26)/8</f>
        <v>163.90881155142048</v>
      </c>
      <c r="N26" s="30">
        <f>ABS(M26-A26)</f>
        <v>0.90881155142048442</v>
      </c>
      <c r="O26" s="30">
        <f t="shared" ref="O26:O31" si="5">ABS(M26-B26)</f>
        <v>1.1884485795121691E-3</v>
      </c>
      <c r="P26" s="30">
        <f>_xlfn.STDEV.S(E26:L26)</f>
        <v>3.5240696455749701E-4</v>
      </c>
    </row>
    <row r="27" spans="1:16" ht="15.75" thickBot="1" x14ac:dyDescent="0.3">
      <c r="A27" s="33">
        <v>36</v>
      </c>
      <c r="B27" s="33">
        <v>36.75</v>
      </c>
      <c r="C27" s="4"/>
      <c r="D27" s="5"/>
      <c r="E27" s="4">
        <v>36.7516338860977</v>
      </c>
      <c r="F27" s="5">
        <v>36.750497706086499</v>
      </c>
      <c r="G27" s="5">
        <v>36.752528679272402</v>
      </c>
      <c r="H27" s="5">
        <v>36.7493830903299</v>
      </c>
      <c r="I27" s="5">
        <v>36.751956807618299</v>
      </c>
      <c r="J27" s="5">
        <v>36.750517225229402</v>
      </c>
      <c r="K27" s="5">
        <v>36.750517225229402</v>
      </c>
      <c r="L27" s="6">
        <v>36.748455785502898</v>
      </c>
      <c r="M27" s="13">
        <f t="shared" ref="M27:M31" si="6">SUM(C27:L27)/8</f>
        <v>36.750686300670807</v>
      </c>
      <c r="N27" s="30">
        <f t="shared" ref="N27:N38" si="7">ABS(M27-A27)</f>
        <v>0.75068630067080733</v>
      </c>
      <c r="O27" s="30">
        <f t="shared" si="5"/>
        <v>6.8630067080732715E-4</v>
      </c>
      <c r="P27" s="30">
        <f t="shared" ref="P27:P31" si="8">_xlfn.STDEV.S(E27:L27)</f>
        <v>1.3455089844379188E-3</v>
      </c>
    </row>
    <row r="28" spans="1:16" ht="15.75" thickBot="1" x14ac:dyDescent="0.3">
      <c r="A28" s="33">
        <v>72</v>
      </c>
      <c r="B28" s="33">
        <v>72.099999999999994</v>
      </c>
      <c r="C28" s="4"/>
      <c r="D28" s="5"/>
      <c r="E28" s="4">
        <v>72.1221981996772</v>
      </c>
      <c r="F28" s="5">
        <v>72.117760414325502</v>
      </c>
      <c r="G28" s="5">
        <v>72.125452006963698</v>
      </c>
      <c r="H28" s="5">
        <v>72.112668035489506</v>
      </c>
      <c r="I28" s="5">
        <v>72.123397084429598</v>
      </c>
      <c r="J28" s="5">
        <v>72.117760414325502</v>
      </c>
      <c r="K28" s="5">
        <v>72.117844937906</v>
      </c>
      <c r="L28" s="6">
        <v>72.109396509867494</v>
      </c>
      <c r="M28" s="13">
        <f t="shared" si="6"/>
        <v>72.118309700373061</v>
      </c>
      <c r="N28" s="30">
        <f t="shared" si="7"/>
        <v>0.11830970037306088</v>
      </c>
      <c r="O28" s="30">
        <f t="shared" si="5"/>
        <v>1.8309700373066562E-2</v>
      </c>
      <c r="P28" s="30">
        <f t="shared" si="8"/>
        <v>5.3998310679051736E-3</v>
      </c>
    </row>
    <row r="29" spans="1:16" ht="15.75" thickBot="1" x14ac:dyDescent="0.3">
      <c r="A29" s="33">
        <v>-10</v>
      </c>
      <c r="B29" s="33">
        <v>-11.07</v>
      </c>
      <c r="C29" s="4"/>
      <c r="D29" s="5"/>
      <c r="E29" s="4">
        <v>-11.0064166565272</v>
      </c>
      <c r="F29" s="5">
        <v>-11.016981332962899</v>
      </c>
      <c r="G29" s="5">
        <v>-10.998964896284599</v>
      </c>
      <c r="H29" s="5">
        <v>-11.0298969691158</v>
      </c>
      <c r="I29" s="5">
        <v>-11.0036310041029</v>
      </c>
      <c r="J29" s="6">
        <v>-11.0372690501982</v>
      </c>
      <c r="K29" s="5">
        <v>-11.016771701693401</v>
      </c>
      <c r="L29" s="6">
        <v>-11.0372690501982</v>
      </c>
      <c r="M29" s="13">
        <f t="shared" si="6"/>
        <v>-11.0184000826354</v>
      </c>
      <c r="N29" s="30">
        <f t="shared" si="7"/>
        <v>1.0184000826354005</v>
      </c>
      <c r="O29" s="30">
        <f t="shared" si="5"/>
        <v>5.159991736459979E-2</v>
      </c>
      <c r="P29" s="30">
        <f t="shared" si="8"/>
        <v>1.5063548235586297E-2</v>
      </c>
    </row>
    <row r="30" spans="1:16" ht="15.75" thickBot="1" x14ac:dyDescent="0.3">
      <c r="A30" s="33">
        <v>-132</v>
      </c>
      <c r="B30" s="33">
        <v>-132</v>
      </c>
      <c r="C30" s="4"/>
      <c r="D30" s="5"/>
      <c r="E30" s="4">
        <v>-131.99706259174201</v>
      </c>
      <c r="F30" s="5">
        <v>-131.99783365457299</v>
      </c>
      <c r="G30" s="5">
        <v>-131.996886452821</v>
      </c>
      <c r="H30" s="5">
        <v>-131.99951824405599</v>
      </c>
      <c r="I30" s="5">
        <v>-131.996920184218</v>
      </c>
      <c r="J30" s="5">
        <v>-131.99722235890999</v>
      </c>
      <c r="K30" s="5">
        <v>-131.99781377936401</v>
      </c>
      <c r="L30" s="6">
        <v>-131.99930952400399</v>
      </c>
      <c r="M30" s="13">
        <f t="shared" si="6"/>
        <v>-131.997820848711</v>
      </c>
      <c r="N30" s="30">
        <f t="shared" si="7"/>
        <v>2.1791512889990372E-3</v>
      </c>
      <c r="O30" s="30">
        <f t="shared" si="5"/>
        <v>2.1791512889990372E-3</v>
      </c>
      <c r="P30" s="30">
        <f t="shared" si="8"/>
        <v>1.0498268518502071E-3</v>
      </c>
    </row>
    <row r="31" spans="1:16" ht="15.75" thickBot="1" x14ac:dyDescent="0.3">
      <c r="A31" s="34">
        <v>50</v>
      </c>
      <c r="B31" s="34">
        <v>49.93</v>
      </c>
      <c r="C31" s="18"/>
      <c r="D31" s="19"/>
      <c r="E31" s="18">
        <v>49.897608828369798</v>
      </c>
      <c r="F31" s="19">
        <v>49.903958887318602</v>
      </c>
      <c r="G31" s="19">
        <v>49.8932674810777</v>
      </c>
      <c r="H31" s="19">
        <v>49.911835763660399</v>
      </c>
      <c r="I31" s="19">
        <v>49.895947740337398</v>
      </c>
      <c r="J31" s="19">
        <v>49.899562792978102</v>
      </c>
      <c r="K31" s="19">
        <v>49.9038318220002</v>
      </c>
      <c r="L31" s="20">
        <v>49.917222459652599</v>
      </c>
      <c r="M31" s="13">
        <f t="shared" si="6"/>
        <v>49.902904471924352</v>
      </c>
      <c r="N31" s="30">
        <f t="shared" si="7"/>
        <v>9.7095528075648474E-2</v>
      </c>
      <c r="O31" s="30">
        <f t="shared" si="5"/>
        <v>2.709552807564819E-2</v>
      </c>
      <c r="P31" s="30">
        <f t="shared" si="8"/>
        <v>8.169830217115908E-3</v>
      </c>
    </row>
    <row r="32" spans="1:16" ht="15.75" thickBot="1" x14ac:dyDescent="0.3">
      <c r="M32" s="13"/>
      <c r="O32">
        <f>MAX(O26:O31)</f>
        <v>5.159991736459979E-2</v>
      </c>
    </row>
    <row r="33" spans="1:16" ht="15.75" thickBot="1" x14ac:dyDescent="0.3">
      <c r="A33" s="3">
        <v>45</v>
      </c>
      <c r="B33" s="3">
        <v>45</v>
      </c>
      <c r="C33" s="14"/>
      <c r="D33" s="15"/>
      <c r="E33" s="15"/>
      <c r="F33" s="15"/>
      <c r="G33" s="15"/>
      <c r="H33" s="15"/>
      <c r="I33" s="15">
        <v>45.000472323180098</v>
      </c>
      <c r="J33" s="15">
        <v>45.000542012562597</v>
      </c>
      <c r="K33" s="15"/>
      <c r="L33" s="16"/>
      <c r="M33" s="13">
        <f>SUM(C33:L33)/2</f>
        <v>45.000507167871348</v>
      </c>
      <c r="N33">
        <f t="shared" si="7"/>
        <v>5.0716787134774677E-4</v>
      </c>
      <c r="O33">
        <f t="shared" ref="O33:O38" si="9">ABS(M33-B33)</f>
        <v>5.0716787134774677E-4</v>
      </c>
      <c r="P33">
        <f>_xlfn.STDEV.S(E26:L26)</f>
        <v>3.5240696455749701E-4</v>
      </c>
    </row>
    <row r="34" spans="1:16" ht="15.75" thickBot="1" x14ac:dyDescent="0.3">
      <c r="A34" s="3">
        <v>50</v>
      </c>
      <c r="B34" s="3">
        <v>50.01</v>
      </c>
      <c r="C34" s="4"/>
      <c r="D34" s="5"/>
      <c r="E34" s="5"/>
      <c r="F34" s="5"/>
      <c r="G34" s="5"/>
      <c r="H34" s="5"/>
      <c r="I34" s="5">
        <v>50.004258956232</v>
      </c>
      <c r="J34" s="5">
        <v>50.004904538900902</v>
      </c>
      <c r="K34" s="5"/>
      <c r="L34" s="6"/>
      <c r="M34" s="13">
        <f t="shared" ref="M34:M38" si="10">SUM(C34:L34)/2</f>
        <v>50.004581747566448</v>
      </c>
      <c r="N34">
        <f t="shared" si="7"/>
        <v>4.5817475664478025E-3</v>
      </c>
      <c r="O34">
        <f t="shared" si="9"/>
        <v>5.418252433550208E-3</v>
      </c>
    </row>
    <row r="35" spans="1:16" ht="15.75" thickBot="1" x14ac:dyDescent="0.3">
      <c r="A35" s="3">
        <v>60</v>
      </c>
      <c r="B35" s="3">
        <v>60.03</v>
      </c>
      <c r="C35" s="4"/>
      <c r="D35" s="5"/>
      <c r="E35" s="5"/>
      <c r="F35" s="5"/>
      <c r="G35" s="5"/>
      <c r="H35" s="5"/>
      <c r="I35" s="5">
        <v>60.010067425168202</v>
      </c>
      <c r="J35" s="5">
        <v>60.011609526498802</v>
      </c>
      <c r="K35" s="5"/>
      <c r="L35" s="6"/>
      <c r="M35" s="13">
        <f t="shared" si="10"/>
        <v>60.010838475833502</v>
      </c>
      <c r="N35">
        <f t="shared" si="7"/>
        <v>1.0838475833502059E-2</v>
      </c>
      <c r="O35">
        <f t="shared" si="9"/>
        <v>1.9161524166499078E-2</v>
      </c>
    </row>
    <row r="36" spans="1:16" ht="15.75" thickBot="1" x14ac:dyDescent="0.3">
      <c r="A36" s="3">
        <v>-40</v>
      </c>
      <c r="B36" s="3">
        <v>-39.96</v>
      </c>
      <c r="C36" s="4"/>
      <c r="D36" s="5"/>
      <c r="E36" s="5"/>
      <c r="F36" s="5"/>
      <c r="G36" s="5"/>
      <c r="H36" s="5"/>
      <c r="I36" s="5">
        <v>-39.982758435631403</v>
      </c>
      <c r="J36" s="5">
        <v>-39.980078317886402</v>
      </c>
      <c r="K36" s="5"/>
      <c r="L36" s="6"/>
      <c r="M36" s="13">
        <f t="shared" si="10"/>
        <v>-39.981418376758903</v>
      </c>
      <c r="N36">
        <f t="shared" si="7"/>
        <v>1.8581623241097134E-2</v>
      </c>
      <c r="O36">
        <f t="shared" si="9"/>
        <v>2.1418376758902014E-2</v>
      </c>
    </row>
    <row r="37" spans="1:16" ht="15.75" thickBot="1" x14ac:dyDescent="0.3">
      <c r="A37" s="3">
        <v>-35</v>
      </c>
      <c r="B37" s="3">
        <v>-35</v>
      </c>
      <c r="C37" s="4"/>
      <c r="D37" s="5"/>
      <c r="E37" s="5"/>
      <c r="F37" s="5"/>
      <c r="G37" s="5"/>
      <c r="H37" s="5"/>
      <c r="I37" s="5">
        <v>-34.9988118291135</v>
      </c>
      <c r="J37" s="5">
        <v>-34.998647300852298</v>
      </c>
      <c r="K37" s="5"/>
      <c r="L37" s="6"/>
      <c r="M37" s="13">
        <f t="shared" si="10"/>
        <v>-34.998729564982895</v>
      </c>
      <c r="N37">
        <f t="shared" si="7"/>
        <v>1.2704350171048873E-3</v>
      </c>
      <c r="O37">
        <f t="shared" si="9"/>
        <v>1.2704350171048873E-3</v>
      </c>
    </row>
    <row r="38" spans="1:16" ht="15.75" thickBot="1" x14ac:dyDescent="0.3">
      <c r="A38" s="3">
        <v>-30</v>
      </c>
      <c r="B38" s="3">
        <v>-29.97</v>
      </c>
      <c r="C38" s="18"/>
      <c r="D38" s="19"/>
      <c r="E38" s="19"/>
      <c r="F38" s="19"/>
      <c r="G38" s="19"/>
      <c r="H38" s="19"/>
      <c r="I38" s="19">
        <v>-29.989971576936</v>
      </c>
      <c r="J38" s="19">
        <v>-29.9883829794069</v>
      </c>
      <c r="K38" s="19"/>
      <c r="L38" s="20"/>
      <c r="M38" s="13">
        <f t="shared" si="10"/>
        <v>-29.98917727817145</v>
      </c>
      <c r="N38">
        <f t="shared" si="7"/>
        <v>1.082272182854993E-2</v>
      </c>
      <c r="O38">
        <f t="shared" si="9"/>
        <v>1.9177278171451206E-2</v>
      </c>
    </row>
    <row r="39" spans="1:16" ht="15.75" thickBot="1" x14ac:dyDescent="0.3">
      <c r="I39" s="15"/>
      <c r="O39">
        <f>MAX(O33:O38)</f>
        <v>2.1418376758902014E-2</v>
      </c>
    </row>
    <row r="40" spans="1:16" x14ac:dyDescent="0.25">
      <c r="C40" s="14">
        <v>163.90856438016201</v>
      </c>
      <c r="D40" s="15">
        <v>163.90883143836999</v>
      </c>
      <c r="E40" s="15">
        <v>163.90845684995799</v>
      </c>
      <c r="F40" s="15">
        <v>163.909320708466</v>
      </c>
      <c r="G40" s="15">
        <v>163.90850728983</v>
      </c>
      <c r="H40" s="15">
        <v>45.000472323180098</v>
      </c>
      <c r="I40" s="15">
        <v>163.90862999205299</v>
      </c>
      <c r="J40" s="15">
        <v>45.000542012562597</v>
      </c>
      <c r="K40" s="15">
        <v>163.90882516224301</v>
      </c>
      <c r="L40" s="16">
        <v>163.90935659028199</v>
      </c>
      <c r="N40">
        <f>(SUM(C40:L40)-A26*8-A33*2)/10</f>
        <v>0.72715067471065142</v>
      </c>
      <c r="O40">
        <f>(SUM(C40:L40)-B26*8-B33*2)/10</f>
        <v>-8.4932528934587024E-4</v>
      </c>
    </row>
    <row r="41" spans="1:16" x14ac:dyDescent="0.25">
      <c r="C41" s="4">
        <v>36.7516338860977</v>
      </c>
      <c r="D41" s="5">
        <v>36.750497706086499</v>
      </c>
      <c r="E41" s="5">
        <v>36.752528679272402</v>
      </c>
      <c r="F41" s="5">
        <v>36.7493830903299</v>
      </c>
      <c r="G41" s="5">
        <v>36.751956807618299</v>
      </c>
      <c r="H41" s="5">
        <v>50.004258956232</v>
      </c>
      <c r="I41" s="5">
        <v>36.750517225229402</v>
      </c>
      <c r="J41" s="5">
        <v>50.004904538900902</v>
      </c>
      <c r="K41" s="5">
        <v>36.750517225229402</v>
      </c>
      <c r="L41" s="6">
        <v>36.748455785502898</v>
      </c>
      <c r="N41">
        <f t="shared" ref="N41:N45" si="11">(SUM(C41:L41)-A27*8-A34*2)/10</f>
        <v>0.60146539004994115</v>
      </c>
      <c r="O41">
        <f t="shared" ref="O41:O45" si="12">(SUM(C41:L41)-B27*8-B34*2)/10</f>
        <v>-5.3460995005849554E-4</v>
      </c>
    </row>
    <row r="42" spans="1:16" x14ac:dyDescent="0.25">
      <c r="C42" s="4">
        <v>72.1221981996772</v>
      </c>
      <c r="D42" s="5">
        <v>72.117760414325502</v>
      </c>
      <c r="E42" s="5">
        <v>72.125452006963698</v>
      </c>
      <c r="F42" s="5">
        <v>72.112668035489506</v>
      </c>
      <c r="G42" s="5">
        <v>72.123397084429598</v>
      </c>
      <c r="H42" s="5">
        <v>60.010067425168202</v>
      </c>
      <c r="I42" s="5">
        <v>72.117760414325502</v>
      </c>
      <c r="J42" s="5">
        <v>60.011609526498802</v>
      </c>
      <c r="K42" s="5">
        <v>72.117844937906</v>
      </c>
      <c r="L42" s="6">
        <v>72.109396509867494</v>
      </c>
      <c r="N42">
        <f t="shared" si="11"/>
        <v>9.6815455465150538E-2</v>
      </c>
      <c r="O42">
        <f t="shared" si="12"/>
        <v>1.0815455465154855E-2</v>
      </c>
    </row>
    <row r="43" spans="1:16" x14ac:dyDescent="0.25">
      <c r="C43" s="4">
        <v>-11.0064166565272</v>
      </c>
      <c r="D43" s="5">
        <v>-11.016981332962899</v>
      </c>
      <c r="E43" s="5">
        <v>-10.998964896284599</v>
      </c>
      <c r="F43" s="5">
        <v>-11.0298969691158</v>
      </c>
      <c r="G43" s="5">
        <v>-11.0036310041029</v>
      </c>
      <c r="H43" s="5">
        <v>-39.982758435631403</v>
      </c>
      <c r="I43" s="6">
        <v>-11.0372690501982</v>
      </c>
      <c r="J43" s="5">
        <v>-39.980078317886402</v>
      </c>
      <c r="K43" s="5">
        <v>-11.016771701693401</v>
      </c>
      <c r="L43" s="6">
        <v>-11.0372690501982</v>
      </c>
      <c r="N43">
        <f t="shared" si="11"/>
        <v>-0.81100374146010101</v>
      </c>
      <c r="O43">
        <f t="shared" si="12"/>
        <v>3.6996258539899428E-2</v>
      </c>
    </row>
    <row r="44" spans="1:16" x14ac:dyDescent="0.25">
      <c r="C44" s="4">
        <v>-131.99706259174201</v>
      </c>
      <c r="D44" s="5">
        <v>-131.99783365457299</v>
      </c>
      <c r="E44" s="5">
        <v>-131.996886452821</v>
      </c>
      <c r="F44" s="5">
        <v>-131.99951824405599</v>
      </c>
      <c r="G44" s="5">
        <v>-131.996920184218</v>
      </c>
      <c r="H44" s="5">
        <v>-34.9988118291135</v>
      </c>
      <c r="I44" s="5">
        <v>-131.99722235890999</v>
      </c>
      <c r="J44" s="5">
        <v>-34.998647300852298</v>
      </c>
      <c r="K44" s="5">
        <v>-131.99781377936401</v>
      </c>
      <c r="L44" s="6">
        <v>-131.99930952400399</v>
      </c>
      <c r="N44">
        <f t="shared" si="11"/>
        <v>1.997408034617365E-3</v>
      </c>
      <c r="O44">
        <f t="shared" si="12"/>
        <v>1.997408034617365E-3</v>
      </c>
    </row>
    <row r="45" spans="1:16" ht="15.75" thickBot="1" x14ac:dyDescent="0.3">
      <c r="C45" s="18">
        <v>49.897608828369798</v>
      </c>
      <c r="D45" s="19">
        <v>49.903958887318602</v>
      </c>
      <c r="E45" s="19">
        <v>49.8932674810777</v>
      </c>
      <c r="F45" s="19">
        <v>49.911835763660399</v>
      </c>
      <c r="G45" s="19">
        <v>49.895947740337398</v>
      </c>
      <c r="H45" s="19">
        <v>-29.989971576936</v>
      </c>
      <c r="I45" s="19">
        <v>49.899562792978102</v>
      </c>
      <c r="J45" s="19">
        <v>-29.9883829794069</v>
      </c>
      <c r="K45" s="19">
        <v>49.9038318220002</v>
      </c>
      <c r="L45" s="20">
        <v>49.917222459652599</v>
      </c>
      <c r="N45">
        <f t="shared" si="11"/>
        <v>-7.5511878094806667E-2</v>
      </c>
      <c r="O45">
        <f t="shared" si="12"/>
        <v>-2.5511878094806661E-2</v>
      </c>
    </row>
    <row r="46" spans="1:16" ht="15.75" thickBot="1" x14ac:dyDescent="0.3">
      <c r="N46" s="22">
        <f>AVERAGE(N40:N45)</f>
        <v>9.0152218117575497E-2</v>
      </c>
      <c r="O46" s="23">
        <f>AVERAGE(O40:O45)</f>
        <v>3.8188847842434374E-3</v>
      </c>
    </row>
    <row r="47" spans="1:16" x14ac:dyDescent="0.25">
      <c r="O47">
        <f>MAX(O40:O45)</f>
        <v>3.6996258539899428E-2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 (2)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2026-02-15T20:14:01Z</dcterms:created>
  <dcterms:modified xsi:type="dcterms:W3CDTF">2026-02-17T23:42:09Z</dcterms:modified>
</cp:coreProperties>
</file>